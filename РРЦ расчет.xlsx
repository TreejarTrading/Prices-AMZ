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DE" sheetId="1" r:id="rId5"/>
    <sheet state="visible" name="Лист3" sheetId="2" r:id="rId6"/>
    <sheet state="visible" name="SKU-ASIN" sheetId="3" r:id="rId7"/>
    <sheet state="visible" name="Inputs" sheetId="4" r:id="rId8"/>
    <sheet state="visible" name="Calculator" sheetId="5" r:id="rId9"/>
    <sheet state="visible" name="Break-even" sheetId="6" r:id="rId10"/>
    <sheet state="visible" name="Summary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COGS из Amazon Revenue Calculator (DOC).
Это полная себестоимость единицы без НДС: FOB + freight + customs duty + 3PL.
НЕ включает доставку 3PL → FBA (она в колонке G).</t>
      </text>
    </comment>
    <comment authorId="0" ref="G7">
      <text>
        <t xml:space="preserve">Стоимость доставки от 3PL до FBA-склада на 1 ед.
Меняется в зависимости от склада. Юзер обновляет.</t>
      </text>
    </comment>
    <comment authorId="0" ref="I9">
      <text>
        <t xml:space="preserve">TACOS = расходы на рекламу / GMV за период (день/неделя/месяц).
Берётся из рекламного кабинета Amazon. План = 15%.</t>
      </text>
    </comment>
    <comment authorId="0" ref="F5">
      <text>
        <t xml:space="preserve">COGS из Amazon Revenue Calculator (DOC).
Это полная себестоимость единицы без НДС: FOB + freight + customs duty + 3PL.
НЕ включает доставку 3PL → FBA (она в колонке G).</t>
      </text>
    </comment>
    <comment authorId="0" ref="G6">
      <text>
        <t xml:space="preserve">Стоимость доставки от 3PL до FBA-склада на 1 ед.
Меняется в зависимости от склада. Юзер обновляет.</t>
      </text>
    </comment>
    <comment authorId="0" ref="I8">
      <text>
        <t xml:space="preserve">TACOS = расходы на рекламу / GMV за период (день/неделя/месяц).
Берётся из рекламного кабинета Amazon. План = 15%.</t>
      </text>
    </comment>
    <comment authorId="0" ref="F4">
      <text>
        <t xml:space="preserve">COGS из Amazon Revenue Calculator (DOC).
Это полная себестоимость единицы без НДС: FOB + freight + customs duty + 3PL.
НЕ включает доставку 3PL → FBA (она в колонке G).</t>
      </text>
    </comment>
    <comment authorId="0" ref="G5">
      <text>
        <t xml:space="preserve">Стоимость доставки от 3PL до FBA-склада на 1 ед.
Меняется в зависимости от склада. Юзер обновляет.</t>
      </text>
    </comment>
    <comment authorId="0" ref="I7">
      <text>
        <t xml:space="preserve">TACOS = расходы на рекламу / GMV за период (день/неделя/месяц).
Берётся из рекламного кабинета Amazon. План = 15%.</t>
      </text>
    </comment>
    <comment authorId="0" ref="G4">
      <text>
        <t xml:space="preserve">Стоимость доставки от 3PL до FBA-склада на 1 ед.
Меняется в зависимости от склада. Юзер обновляет.</t>
      </text>
    </comment>
    <comment authorId="0" ref="I6">
      <text>
        <t xml:space="preserve">TACOS = расходы на рекламу / GMV за период (день/неделя/месяц).
Берётся из рекламного кабинета Amazon. План = 15%.</t>
      </text>
    </comment>
    <comment authorId="0" ref="I5">
      <text>
        <t xml:space="preserve">TACOS = расходы на рекламу / GMV за период (день/неделя/месяц).
Берётся из рекламного кабинета Amazon. План = 15%.</t>
      </text>
    </comment>
    <comment authorId="0" ref="I4">
      <text>
        <t xml:space="preserve">TACOS = расходы на рекламу / GMV за период (день/неделя/месяц).
Берётся из рекламного кабинета Amazon. План = 15%.</t>
      </text>
    </comment>
    <comment authorId="0" ref="F9">
      <text>
        <t xml:space="preserve">COGS из Amazon Revenue Calculator (DOC).
Это полная себестоимость единицы без НДС: FOB + freight + customs duty + 3PL.
НЕ включает доставку 3PL → FBA (она в колонке G).</t>
      </text>
    </comment>
    <comment authorId="0" ref="F8">
      <text>
        <t xml:space="preserve">COGS из Amazon Revenue Calculator (DOC).
Это полная себестоимость единицы без НДС: FOB + freight + customs duty + 3PL.
НЕ включает доставку 3PL → FBA (она в колонке G).</t>
      </text>
    </comment>
    <comment authorId="0" ref="G9">
      <text>
        <t xml:space="preserve">Стоимость доставки от 3PL до FBA-склада на 1 ед.
Меняется в зависимости от склада. Юзер обновляет.</t>
      </text>
    </comment>
    <comment authorId="0" ref="F7">
      <text>
        <t xml:space="preserve">COGS из Amazon Revenue Calculator (DOC).
Это полная себестоимость единицы без НДС: FOB + freight + customs duty + 3PL.
НЕ включает доставку 3PL → FBA (она в колонке G).</t>
      </text>
    </comment>
    <comment authorId="0" ref="G8">
      <text>
        <t xml:space="preserve">Стоимость доставки от 3PL до FBA-склада на 1 ед.
Меняется в зависимости от склада. Юзер обновляет.</t>
      </text>
    </comment>
  </commentList>
</comments>
</file>

<file path=xl/sharedStrings.xml><?xml version="1.0" encoding="utf-8"?>
<sst xmlns="http://schemas.openxmlformats.org/spreadsheetml/2006/main" count="405" uniqueCount="240">
  <si>
    <t>#</t>
  </si>
  <si>
    <t>Ihr Preis EUR
 (Amazon verkaufen, DE)</t>
  </si>
  <si>
    <t>Angebotspreis EUR
 (-4,00 EUR)</t>
  </si>
  <si>
    <t>Listenpreis (UVP) EUR
 (Netto, +25%)</t>
  </si>
  <si>
    <t>Listenpreis mit Steuern EUR
 (Brutto, 19% MwSt)</t>
  </si>
  <si>
    <t>Zulässiger Mindestpreis EUR
 (-5% vom Angebot)</t>
  </si>
  <si>
    <t>Maximaler Verkäuferpreis EUR
 (+10% vom Ihr Preis)</t>
  </si>
  <si>
    <t>Amazon Business B2B EUR
 (-3% für Buy Box)</t>
  </si>
  <si>
    <t>Zulässiger Mindestpreis B2B EUR
 (−5% vom B2B)</t>
  </si>
  <si>
    <t>Maximaler Verkäuferpreis B2B EUR
 (+10% vom B2B)</t>
  </si>
  <si>
    <t>CH970-BLK</t>
  </si>
  <si>
    <t>CH970-GREY</t>
  </si>
  <si>
    <t>CH980-BLK</t>
  </si>
  <si>
    <t>CH980-GREY</t>
  </si>
  <si>
    <t>CH975-BLK</t>
  </si>
  <si>
    <t>CH975-GREY</t>
  </si>
  <si>
    <t>Angebotspreis = Ihr Preis − 4 € (в рамках заданных 3–5 €)</t>
  </si>
  <si>
    <t>UVP Netto = (Ihr Preis / 1,19) × 1,25 — Netto-база + 25% маржинальности</t>
  </si>
  <si>
    <t>UVP Brutto = UVP Netto × 1,19 — обратно с 19% MwSt</t>
  </si>
  <si>
    <t>Mindestpreis = 95% от Angebotspreis (нижний floor)</t>
  </si>
  <si>
    <t>Maximalpreis = 110% от Ihr Preis (верхний ceiling)</t>
  </si>
  <si>
    <t>B2B = 97% от Angebotspreis (снижение на 3% для захвата Buy Box)</t>
  </si>
  <si>
    <t>Zulässiger Mindestpreis B2B = B2B-Preis × 0,95 (−5% от Business-цены, нижний floor)</t>
  </si>
  <si>
    <t>Maximaler Verkäuferpreis B2B = B2B-Preis × 1,10 (+10% к Business-цене, верхний ceiling)</t>
  </si>
  <si>
    <t>Столбец</t>
  </si>
  <si>
    <t>Формула</t>
  </si>
  <si>
    <t>Логика</t>
  </si>
  <si>
    <t>**Ihr Preis EUR**</t>
  </si>
  <si>
    <t>Исходные данные</t>
  </si>
  <si>
    <t>Ваши текущие цены (вкл. 19% MwSt)</t>
  </si>
  <si>
    <t>**Angebotspreis EUR**</t>
  </si>
  <si>
    <t>`=Ihr Preis − 4,00`</t>
  </si>
  <si>
    <t>На 4 евро ниже (в диапазоне 3–5 €)</t>
  </si>
  <si>
    <t>**Listenpreis (UVP) EUR**</t>
  </si>
  <si>
    <t>`=Ihr Preis / 1.19 × 1.25`</t>
  </si>
  <si>
    <t>Netto-UVP на 25% выше базовой цены</t>
  </si>
  <si>
    <t>**Listenpreis mit Steuern EUR**</t>
  </si>
  <si>
    <t>`=UVP × 1.19`</t>
  </si>
  <si>
    <t>Brutto-UVP с НДС 19%</t>
  </si>
  <si>
    <t>**Zulässiger Mindestpreis**</t>
  </si>
  <si>
    <t>`=Angebotspreis × 0.95`</t>
  </si>
  <si>
    <t>−5% от акционной цены</t>
  </si>
  <si>
    <t>**Maximaler Verkäuferpreis**</t>
  </si>
  <si>
    <t>`=Ihr Preis × 1.10`</t>
  </si>
  <si>
    <t>**Amazon Business B2B EUR**</t>
  </si>
  <si>
    <t>`=Angebotspreis × 0.97`</t>
  </si>
  <si>
    <t>−3% для конкурентоспособности в Buy Box</t>
  </si>
  <si>
    <t>Amazon.de Preiskalkulation</t>
  </si>
  <si>
    <t>Preisgestaltung für Amazon Seller Central (Bei Amazon verkaufen, DE)</t>
  </si>
  <si>
    <t>Zusammenfassung</t>
  </si>
  <si>
    <t>Anzahl der Produkte:</t>
  </si>
  <si>
    <t>MwSt-Satz (DE):</t>
  </si>
  <si>
    <t>Angebotspreis-Rabatt:</t>
  </si>
  <si>
    <t>4,00 EUR unter Ihr Preis</t>
  </si>
  <si>
    <t>UVP-Aufschlag:</t>
  </si>
  <si>
    <t>25% über Netto-Ihr Preis</t>
  </si>
  <si>
    <t>B2B-Rabatt:</t>
  </si>
  <si>
    <t>3% unter Angebotspreis (Buy Box-optimiert)</t>
  </si>
  <si>
    <t>Blattübersicht</t>
  </si>
  <si>
    <t>Blattname</t>
  </si>
  <si>
    <t>Beschreibung</t>
  </si>
  <si>
    <t>Preiskalkulation</t>
  </si>
  <si>
    <t>Detaillierte Preis berechnungen mit Formeln</t>
  </si>
  <si>
    <t>Hinweise:</t>
  </si>
  <si>
    <t>• Alle Preise sind in EUR.
 • Ihr Preis: Bruttopreis inkl. 19% MwSt (Standard bei Amazon.de).
 • Angebotspreis: Um 4 EUR reduziert für Werbeaktionen.
 • B2B-Preis: Mit 3% Rabatt für Amazon Business Buy Box-Optimierung.</t>
  </si>
  <si>
    <t>AMAZON DE FBA — МАСТЕР SKU</t>
  </si>
  <si>
    <t>SKU</t>
  </si>
  <si>
    <t>ASIN</t>
  </si>
  <si>
    <t>Название</t>
  </si>
  <si>
    <t>FBA fee, €/ед</t>
  </si>
  <si>
    <t>Storage, €/мес/ед</t>
  </si>
  <si>
    <t>COGS landed, €/ед</t>
  </si>
  <si>
    <t>Доставка 3PL→FBA, €/ед</t>
  </si>
  <si>
    <t>Полная COGS, €/ед</t>
  </si>
  <si>
    <t>TACOS план/факт, %</t>
  </si>
  <si>
    <t>B0D8PFB4VR</t>
  </si>
  <si>
    <t>SkyLand Bürostuhl Ergonomisch — Grey</t>
  </si>
  <si>
    <t>B0D8PGVY5V</t>
  </si>
  <si>
    <t>SkyLand Bürostuhl Ergonomisch — Black</t>
  </si>
  <si>
    <t>B0FPCHVY23</t>
  </si>
  <si>
    <t>SkyLand Bürostuhl Ergonomisch — Grey (975)</t>
  </si>
  <si>
    <t>B0FPCK6XPN</t>
  </si>
  <si>
    <t>SkyLand Bürostuhl Ergonomisch — Black (975)</t>
  </si>
  <si>
    <t>B0FPCK3ZQ2</t>
  </si>
  <si>
    <t>SkyLand Bürostuhl Ergonomisch — Grey (980)</t>
  </si>
  <si>
    <t>B0FPCK9QZS</t>
  </si>
  <si>
    <t>SkyLand Bürostuhl Ergonomisch — Black (980)</t>
  </si>
  <si>
    <t>Цвета:</t>
  </si>
  <si>
    <t>Hardcoded input (синий)</t>
  </si>
  <si>
    <t>Формула (чёрный)</t>
  </si>
  <si>
    <t>Ссылка на другой лист (зелёный)</t>
  </si>
  <si>
    <t>ПРИМЕЧАНИЯ:</t>
  </si>
  <si>
    <t>• COGS landed взят из Amazon Revenue Calculator (DOC), без НДС.</t>
  </si>
  <si>
    <t>• Полная COGS = COGS landed + Доставка 3PL → FBA. Обновляйте G под текущий склад FBA.</t>
  </si>
  <si>
    <t>• TACOS — план 15%, замените на фактический из Amazon Ads.</t>
  </si>
  <si>
    <t>• FBA fee и Storage — из Amazon Revenue Calculator по каждому ASIN.</t>
  </si>
  <si>
    <t>ПАРАМЕТРЫ / ASSUMPTIONS</t>
  </si>
  <si>
    <t>Параметр</t>
  </si>
  <si>
    <t>Значение</t>
  </si>
  <si>
    <t>Комментарий</t>
  </si>
  <si>
    <t>VAT (НДС Германии)</t>
  </si>
  <si>
    <t>Стандартная ставка Германии 19%</t>
  </si>
  <si>
    <t>Customs Duty (таможенная пошлина)</t>
  </si>
  <si>
    <t>5% для мебели</t>
  </si>
  <si>
    <t>EPR (экологический сбор), €/год</t>
  </si>
  <si>
    <t>Единоразовый годовой</t>
  </si>
  <si>
    <t>Курс USD → EUR</t>
  </si>
  <si>
    <t>Курс из исходного файла</t>
  </si>
  <si>
    <t>Доставка Гонконг → Гамбург, USD/ед</t>
  </si>
  <si>
    <t>Из исходной модели</t>
  </si>
  <si>
    <t>Returns / Loss, %</t>
  </si>
  <si>
    <t>Резерв на возвраты</t>
  </si>
  <si>
    <t>Скидка Business Price (B2B), %</t>
  </si>
  <si>
    <t>B2B всегда ниже Sale Price автоматически (минус VAT). Здесь — ДОП.скидка к net-цене.</t>
  </si>
  <si>
    <t>Скидка за 2 шт, %</t>
  </si>
  <si>
    <t>Quantity Discount Tier 1</t>
  </si>
  <si>
    <t>Скидка за 4 шт, %</t>
  </si>
  <si>
    <t>Quantity Discount Tier 2</t>
  </si>
  <si>
    <t>Скидка за 6 шт, %</t>
  </si>
  <si>
    <t>Quantity Discount Tier 3</t>
  </si>
  <si>
    <t>Купон — размер скидки, %</t>
  </si>
  <si>
    <t>Скидка по купону</t>
  </si>
  <si>
    <t>Купон — variable fee, % выручки</t>
  </si>
  <si>
    <t>С июня 2025: 2.5% от купонной выручки (per unit)</t>
  </si>
  <si>
    <t>Купон — flat fee per coupon (one-time), €</t>
  </si>
  <si>
    <t>Единоразовый upfront fee за создание купона. Не на 1 ед — учитывается в Summary.</t>
  </si>
  <si>
    <t>Deal — размер скидки, %</t>
  </si>
  <si>
    <t>Скидка в Best Deal / Lightning Deal</t>
  </si>
  <si>
    <t>Deal — variable fee, % выручки</t>
  </si>
  <si>
    <t>Германия 2026: ~1.5% от deal-выручки (per unit)</t>
  </si>
  <si>
    <t>Deal — cap (Германия), €/deal</t>
  </si>
  <si>
    <t>Германия 2026: максимум variable fee = €300 за один deal</t>
  </si>
  <si>
    <t>PED — размер скидки, %</t>
  </si>
  <si>
    <t>Минимум 20% от non-member price (Amazon требование)</t>
  </si>
  <si>
    <t>PED — fee per campaign, €</t>
  </si>
  <si>
    <t>$100/€100 за кампанию во время Prime Day / Big Deal Days / BFCM. Вне событий — бесплатно. Списывается только если есть хотя бы 1 продажа.</t>
  </si>
  <si>
    <t>TACOS план (default per SKU), %</t>
  </si>
  <si>
    <t>Плановый TACOS. Фактический per-SKU в SKU-ASIN!I.</t>
  </si>
  <si>
    <t>Referral fee — порог цены, €</t>
  </si>
  <si>
    <t>До €200 → 15%, выше → 10%</t>
  </si>
  <si>
    <t>Referral fee — % до порога</t>
  </si>
  <si>
    <t>Referral fee — % после порога</t>
  </si>
  <si>
    <t>Referral fee — минимум, €</t>
  </si>
  <si>
    <t>Минимум на единицу</t>
  </si>
  <si>
    <t>Корпоративный налог Эстонии, %</t>
  </si>
  <si>
    <t>Эстония: 0% на нераспределённую прибыль. 22% (с 2025) при распределении дивидендов. Если ставите 22% — введите 0.22.</t>
  </si>
  <si>
    <t>Доля прибыли, идущая на дивиденды, %</t>
  </si>
  <si>
    <t>0% = ничего не распределяется → налог 0%. Если 100% распределяется → налог = ставка × 100% прибыли.</t>
  </si>
  <si>
    <t>% input VAT reclaimable на COGS</t>
  </si>
  <si>
    <t>Customs VAT 19% на импорт — обычно 100% возмещаем при наличии VAT-номера в Германии</t>
  </si>
  <si>
    <t>% input VAT reclaimable на Amazon fees</t>
  </si>
  <si>
    <t>При Reverse Charge для EU-сейлеров VAT нетится. Оставьте 100% (нейтрально).</t>
  </si>
  <si>
    <t>Сертификация (one-time), €</t>
  </si>
  <si>
    <t>Подготовка инфраструктуры (one-time), €</t>
  </si>
  <si>
    <t>Прочие постоянные расходы/мес, €</t>
  </si>
  <si>
    <t>Бухгалтер, подписки, лицензия MISA если применимо</t>
  </si>
  <si>
    <t>ПРИМЕЧАНИЯ ПО НАЛОГАМ И FEE:</t>
  </si>
  <si>
    <t>• Referral fee для DE: ≤€200 → 15%, &gt;€200 → 10% (мин €0.30/ед). Проверено по Amazon DOC.</t>
  </si>
  <si>
    <t>• Купон с июня 2025: $5 flat + 2.5% от купонной выручки (заменяет старый €0.60/выкуп).</t>
  </si>
  <si>
    <t>• Deal: с ноября 2025 / 2026 Германия = variable rate ~1.5%, capped at €300/deal.</t>
  </si>
  <si>
    <t>• PED (Prime Exclusive Discount): вне событий — БЕСПЛАТНО. На Prime Day / BFCM — €100/кампанию (списывается, если есть хотя бы 1 продажа).</t>
  </si>
  <si>
    <t>• Estonia 0%: если прибыль реинвестируется. 22% применяется только к распределяемым дивидендам.</t>
  </si>
  <si>
    <t>• ВНИМАНИЕ: хранение товара на FBA в Германии может квалифицироваться как 'постоянное представительство' → ~15.825% корп.налог Германии на часть прибыли. Уточняйте у налогового консультанта.</t>
  </si>
  <si>
    <t>• VAT: Output VAT собирается с продаж B2C (Amazon собирает с клиента). Input VAT (customs 19% на импорт) возмещается через VAT-возврат Германии.</t>
  </si>
  <si>
    <t>КАЛЬКУЛЯТОР AMAZON DE — P&amp;L по ценовым уровням</t>
  </si>
  <si>
    <t>Тарифы: B2C-RRP (Базовый / Купон / Deal / Prime Excl.), Business (B2B), 2/4/6 шт.</t>
  </si>
  <si>
    <t>Ценовой тариф</t>
  </si>
  <si>
    <t>Сценарий</t>
  </si>
  <si>
    <t>RRP с VAT, €</t>
  </si>
  <si>
    <t>Эфф. цена с VAT, €</t>
  </si>
  <si>
    <t>Цена без VAT, €</t>
  </si>
  <si>
    <t>Купон fee на ед, €</t>
  </si>
  <si>
    <t>Deal fee на ед, €</t>
  </si>
  <si>
    <t>Referral fee, €</t>
  </si>
  <si>
    <t>FBA fee, €</t>
  </si>
  <si>
    <t>Storage fee/ед, €</t>
  </si>
  <si>
    <t>Реклама (TACOS), €</t>
  </si>
  <si>
    <t>Резерв возвратов, €</t>
  </si>
  <si>
    <t>COGS полная, €</t>
  </si>
  <si>
    <t>Маржа на ед без VAT, €</t>
  </si>
  <si>
    <t>Маржа, %</t>
  </si>
  <si>
    <t>Break-even цена (с VAT), €</t>
  </si>
  <si>
    <t>ROI на ед, %</t>
  </si>
  <si>
    <t>RRP B2C</t>
  </si>
  <si>
    <t>Базовый</t>
  </si>
  <si>
    <t>Купон</t>
  </si>
  <si>
    <t>Deal</t>
  </si>
  <si>
    <t>Prime Excl.</t>
  </si>
  <si>
    <t>Business (B2B)</t>
  </si>
  <si>
    <t>2 шт</t>
  </si>
  <si>
    <t>4 шт</t>
  </si>
  <si>
    <t>6 шт</t>
  </si>
  <si>
    <t>Цвета: Вход (синий) / Формула (чёрный) / Ссылка на лист (зелёный).</t>
  </si>
  <si>
    <t>Купон fee = 2.5% × эфф.цена (с июня 2025, новая модель).</t>
  </si>
  <si>
    <t>Deal fee = 1.5% × эфф.цена. Cap €300 за кампанию учитывается в Summary, а не на ед.</t>
  </si>
  <si>
    <t>PED (Prime Exclusive Discount) per-unit fee = 0. €100/кампанию учитывается в Summary.</t>
  </si>
  <si>
    <t>BE-цена — базовый сценарий (без купонов/деалов), per-SKU TACOS.</t>
  </si>
  <si>
    <t>BREAK-EVEN И ОКУПАЕМОСТЬ</t>
  </si>
  <si>
    <t>RRP с VAT (база), €</t>
  </si>
  <si>
    <t>BE цена с VAT, €</t>
  </si>
  <si>
    <t>Запас по цене, %</t>
  </si>
  <si>
    <t>Прогноз продаж, шт/мес</t>
  </si>
  <si>
    <t>BE объём, шт/мес</t>
  </si>
  <si>
    <t>Месячная прибыль, €</t>
  </si>
  <si>
    <t>Стартовые инвестиции, €</t>
  </si>
  <si>
    <t>Запас на складе, шт</t>
  </si>
  <si>
    <t>Payback, мес</t>
  </si>
  <si>
    <t>ИТОГО</t>
  </si>
  <si>
    <t>BE-цена: цена с VAT, при которой маржа = 0 в базовом сценарии (без купонов/деалов, с per-SKU TACOS).</t>
  </si>
  <si>
    <t>BE-объём: сколько шт/мес продать, чтобы покрыть свою долю пост.расходов (EPR/12 + OpEx, поровну на SKU).</t>
  </si>
  <si>
    <t>Payback = (запас на складе × Полная COGS + setup) / месячная прибыль.</t>
  </si>
  <si>
    <t>Запас по цене — насколько RRP выше BE (выше → больше места для скидок/рекламы).</t>
  </si>
  <si>
    <t>МЕСЯЧНЫЙ P&amp;L — СВОДКА</t>
  </si>
  <si>
    <t>Базовый сценарий: RRP B2C / Базовый. Прогноз продаж и запас на складе — с листа Break-even. TACOS — per-SKU из SKU-ASIN. Купоны / Deals / PED — отдельные кампании ниже.</t>
  </si>
  <si>
    <t>Прод/мес шт</t>
  </si>
  <si>
    <t>Цена с VAT €</t>
  </si>
  <si>
    <t>Выручка €/мес</t>
  </si>
  <si>
    <t>Прибыль €/мес</t>
  </si>
  <si>
    <t>Маржа %</t>
  </si>
  <si>
    <t>ИТОГО валовая</t>
  </si>
  <si>
    <t>ПРОМО-КАМПАНИИ</t>
  </si>
  <si>
    <t>Купонных кампаний в мес, шт</t>
  </si>
  <si>
    <t>Deal-кампаний в мес, шт (cap €300 каждая)</t>
  </si>
  <si>
    <t>PED-кампаний в мес, шт (€100 каждая, только Prime Day/BFCM)</t>
  </si>
  <si>
    <t>ПОСТОЯННЫЕ РАСХОДЫ</t>
  </si>
  <si>
    <t>Постоянные расходы /мес (OpEx)</t>
  </si>
  <si>
    <t>EPR /мес</t>
  </si>
  <si>
    <t>ПРИБЫЛЬ ДО НАЛОГОВ (operating profit)</t>
  </si>
  <si>
    <t>НАЛОГИ</t>
  </si>
  <si>
    <t>Корп.налог Эстонии = ставка × доля распределяемой прибыли</t>
  </si>
  <si>
    <t>ЧИСТАЯ ПРИБЫЛЬ /МЕС</t>
  </si>
  <si>
    <t>VAT (НДС) — cash flow, не влияет на прибыль</t>
  </si>
  <si>
    <t>Output VAT (с продаж B2C)</t>
  </si>
  <si>
    <t>Input VAT возмещаемый (Customs на COGS landed)</t>
  </si>
  <si>
    <t>Input VAT возмещаемый (Доставка 3PL → FBA)</t>
  </si>
  <si>
    <t>NET VAT к уплате /мес (Output − Input)</t>
  </si>
  <si>
    <t>VAT — pass-through tax: НЕ уменьшает прибыль (прибыль уже считается ex-VAT). Net VAT — это сколько перечислите в немецкую налоговую раз в квартал.</t>
  </si>
  <si>
    <t>Корп.налог Эстонии: 0% если прибыль остаётся в компании; 22% × доля распределяемых дивидендов.</t>
  </si>
  <si>
    <t>Если FBA-склад в Германии → риск 'постоянного представительства' → ~15.825% корп.налога Германии на часть прибыли (уточняйте у налогового консультанта).</t>
  </si>
  <si>
    <t>Купон, Deal и PED — отдельные кампании. Per-unit fee учтён в Calculator; кампанийный flat fee — здесь.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</si>
</sst>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&quot;€&quot;"/>
    <numFmt numFmtId="165" formatCode="#,##0.00&quot; €&quot;;\(#,##0.00&quot; €)&quot;;\-"/>
    <numFmt numFmtId="166" formatCode="0.0%;\(0.0%\);\-"/>
    <numFmt numFmtId="167" formatCode="0.0000"/>
    <numFmt numFmtId="168" formatCode="0.00&quot; $&quot;"/>
    <numFmt numFmtId="169" formatCode="#,##0;\(#,##0\);\-"/>
    <numFmt numFmtId="170" formatCode="#,##0.0;\(#,##0.0\);\-"/>
  </numFmts>
  <fonts count="25">
    <font>
      <sz val="10.0"/>
      <color rgb="FF000000"/>
      <name val="Calibri"/>
      <scheme val="minor"/>
    </font>
    <font>
      <b/>
      <sz val="8.0"/>
      <color rgb="FFFFFFFF"/>
      <name val="Cambria"/>
    </font>
    <font>
      <sz val="8.0"/>
      <color theme="1"/>
      <name val="Calibri"/>
      <scheme val="minor"/>
    </font>
    <font>
      <sz val="10.0"/>
      <color rgb="FF0066CC"/>
      <name val="Cambria"/>
    </font>
    <font>
      <sz val="10.0"/>
      <color rgb="FF000000"/>
      <name val="Cambria"/>
    </font>
    <font>
      <sz val="11.0"/>
      <color theme="1"/>
      <name val="Calibri"/>
    </font>
    <font>
      <color rgb="FF000000"/>
      <name val="Inherit"/>
    </font>
    <font>
      <sz val="11.0"/>
      <color rgb="FF000000"/>
      <name val="&quot;Aptos Narrow&quot;"/>
    </font>
    <font>
      <sz val="11.0"/>
      <color rgb="FF000000"/>
      <name val="Calibri"/>
    </font>
    <font>
      <color theme="1"/>
      <name val="Calibri"/>
      <scheme val="minor"/>
    </font>
    <font>
      <b/>
      <sz val="20.0"/>
      <color rgb="FFFFFFFF"/>
      <name val="Cambria"/>
    </font>
    <font>
      <sz val="12.0"/>
      <color rgb="FF666666"/>
      <name val="Cambria"/>
    </font>
    <font>
      <b/>
      <sz val="14.0"/>
      <color rgb="FF122B49"/>
      <name val="Cambria"/>
    </font>
    <font>
      <b/>
      <sz val="11.0"/>
      <color theme="1"/>
      <name val="Cambria"/>
    </font>
    <font>
      <sz val="11.0"/>
      <color rgb="FF0066CC"/>
      <name val="Cambria"/>
    </font>
    <font>
      <b/>
      <sz val="11.0"/>
      <color rgb="FF122B49"/>
      <name val="Cambria"/>
    </font>
    <font>
      <color rgb="FF666666"/>
      <name val="Cambria"/>
    </font>
    <font>
      <b/>
      <sz val="14.0"/>
      <color rgb="FF305496"/>
      <name val="Arial"/>
    </font>
    <font>
      <b/>
      <sz val="11.0"/>
      <color rgb="FFFFFFFF"/>
      <name val="Arial"/>
    </font>
    <font>
      <sz val="10.0"/>
      <color rgb="FF0000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008000"/>
      <name val="Arial"/>
    </font>
    <font>
      <i/>
      <sz val="9.0"/>
      <color rgb="FF595959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122B49"/>
        <bgColor rgb="FF122B49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7">
    <border/>
    <border>
      <bottom style="thin">
        <color rgb="FFD0D0D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1" fillId="0" fontId="4" numFmtId="164" xfId="0" applyAlignment="1" applyBorder="1" applyFont="1" applyNumberFormat="1">
      <alignment horizontal="right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3" numFmtId="164" xfId="0" applyAlignment="1" applyBorder="1" applyFont="1" applyNumberFormat="1">
      <alignment horizontal="right" readingOrder="0" shrinkToFit="0" vertical="bottom" wrapText="0"/>
    </xf>
    <xf borderId="1" fillId="3" fontId="4" numFmtId="164" xfId="0" applyAlignment="1" applyBorder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horizontal="left" shrinkToFit="0" vertical="center" wrapText="1"/>
    </xf>
    <xf borderId="0" fillId="4" fontId="6" numFmtId="0" xfId="0" applyAlignment="1" applyFill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4" fontId="9" numFmtId="0" xfId="0" applyFont="1"/>
    <xf borderId="0" fillId="2" fontId="10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9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vertical="top"/>
    </xf>
    <xf borderId="0" fillId="0" fontId="17" numFmtId="0" xfId="0" applyAlignment="1" applyFont="1">
      <alignment shrinkToFit="0" vertical="bottom" wrapText="0"/>
    </xf>
    <xf borderId="2" fillId="5" fontId="18" numFmtId="0" xfId="0" applyAlignment="1" applyBorder="1" applyFill="1" applyFont="1">
      <alignment horizontal="center" shrinkToFit="0" vertical="center" wrapText="1"/>
    </xf>
    <xf borderId="2" fillId="6" fontId="19" numFmtId="0" xfId="0" applyAlignment="1" applyBorder="1" applyFill="1" applyFont="1">
      <alignment horizontal="left" shrinkToFit="0" vertical="center" wrapText="1"/>
    </xf>
    <xf borderId="2" fillId="6" fontId="19" numFmtId="165" xfId="0" applyAlignment="1" applyBorder="1" applyFont="1" applyNumberFormat="1">
      <alignment horizontal="right" shrinkToFit="0" vertical="center" wrapText="0"/>
    </xf>
    <xf borderId="2" fillId="7" fontId="20" numFmtId="165" xfId="0" applyAlignment="1" applyBorder="1" applyFill="1" applyFont="1" applyNumberFormat="1">
      <alignment horizontal="right" shrinkToFit="0" vertical="center" wrapText="0"/>
    </xf>
    <xf borderId="2" fillId="6" fontId="19" numFmtId="166" xfId="0" applyAlignment="1" applyBorder="1" applyFont="1" applyNumberFormat="1">
      <alignment horizontal="right" shrinkToFit="0" vertical="center" wrapText="0"/>
    </xf>
    <xf borderId="0" fillId="0" fontId="21" numFmtId="0" xfId="0" applyAlignment="1" applyFont="1">
      <alignment shrinkToFit="0" vertical="bottom" wrapText="0"/>
    </xf>
    <xf borderId="3" fillId="6" fontId="19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2" fillId="8" fontId="21" numFmtId="0" xfId="0" applyAlignment="1" applyBorder="1" applyFill="1" applyFont="1">
      <alignment horizontal="left" shrinkToFit="0" vertical="center" wrapText="1"/>
    </xf>
    <xf borderId="2" fillId="0" fontId="23" numFmtId="0" xfId="0" applyAlignment="1" applyBorder="1" applyFont="1">
      <alignment horizontal="left" shrinkToFit="0" vertical="center" wrapText="1"/>
    </xf>
    <xf borderId="2" fillId="6" fontId="19" numFmtId="167" xfId="0" applyAlignment="1" applyBorder="1" applyFont="1" applyNumberFormat="1">
      <alignment horizontal="right" shrinkToFit="0" vertical="center" wrapText="0"/>
    </xf>
    <xf borderId="2" fillId="6" fontId="19" numFmtId="168" xfId="0" applyAlignment="1" applyBorder="1" applyFont="1" applyNumberFormat="1">
      <alignment horizontal="right" shrinkToFit="0" vertical="center" wrapText="0"/>
    </xf>
    <xf borderId="2" fillId="0" fontId="22" numFmtId="0" xfId="0" applyAlignment="1" applyBorder="1" applyFont="1">
      <alignment shrinkToFit="0" vertical="bottom" wrapText="0"/>
    </xf>
    <xf borderId="2" fillId="6" fontId="19" numFmtId="165" xfId="0" applyAlignment="1" applyBorder="1" applyFont="1" applyNumberFormat="1">
      <alignment shrinkToFit="0" vertical="bottom" wrapText="0"/>
    </xf>
    <xf borderId="2" fillId="0" fontId="5" numFmtId="165" xfId="0" applyAlignment="1" applyBorder="1" applyFont="1" applyNumberFormat="1">
      <alignment shrinkToFit="0" vertical="bottom" wrapText="0"/>
    </xf>
    <xf borderId="2" fillId="0" fontId="22" numFmtId="165" xfId="0" applyAlignment="1" applyBorder="1" applyFont="1" applyNumberFormat="1">
      <alignment shrinkToFit="0" vertical="bottom" wrapText="0"/>
    </xf>
    <xf borderId="2" fillId="0" fontId="21" numFmtId="165" xfId="0" applyAlignment="1" applyBorder="1" applyFont="1" applyNumberFormat="1">
      <alignment shrinkToFit="0" vertical="bottom" wrapText="0"/>
    </xf>
    <xf borderId="2" fillId="0" fontId="21" numFmtId="166" xfId="0" applyAlignment="1" applyBorder="1" applyFont="1" applyNumberFormat="1">
      <alignment shrinkToFit="0" vertical="bottom" wrapText="0"/>
    </xf>
    <xf borderId="2" fillId="0" fontId="20" numFmtId="165" xfId="0" applyAlignment="1" applyBorder="1" applyFont="1" applyNumberFormat="1">
      <alignment shrinkToFit="0" vertical="bottom" wrapText="0"/>
    </xf>
    <xf borderId="2" fillId="0" fontId="22" numFmtId="166" xfId="0" applyAlignment="1" applyBorder="1" applyFont="1" applyNumberFormat="1">
      <alignment shrinkToFit="0" vertical="bottom" wrapText="0"/>
    </xf>
    <xf borderId="2" fillId="0" fontId="5" numFmtId="166" xfId="0" applyAlignment="1" applyBorder="1" applyFont="1" applyNumberFormat="1">
      <alignment shrinkToFit="0" vertical="bottom" wrapText="0"/>
    </xf>
    <xf borderId="2" fillId="6" fontId="19" numFmtId="169" xfId="0" applyAlignment="1" applyBorder="1" applyFont="1" applyNumberFormat="1">
      <alignment shrinkToFit="0" vertical="bottom" wrapText="0"/>
    </xf>
    <xf borderId="2" fillId="0" fontId="5" numFmtId="169" xfId="0" applyAlignment="1" applyBorder="1" applyFont="1" applyNumberFormat="1">
      <alignment shrinkToFit="0" vertical="bottom" wrapText="0"/>
    </xf>
    <xf borderId="2" fillId="0" fontId="5" numFmtId="170" xfId="0" applyAlignment="1" applyBorder="1" applyFont="1" applyNumberFormat="1">
      <alignment shrinkToFit="0" vertical="bottom" wrapText="0"/>
    </xf>
    <xf borderId="2" fillId="7" fontId="21" numFmtId="0" xfId="0" applyAlignment="1" applyBorder="1" applyFont="1">
      <alignment shrinkToFit="0" vertical="bottom" wrapText="0"/>
    </xf>
    <xf borderId="2" fillId="7" fontId="21" numFmtId="169" xfId="0" applyAlignment="1" applyBorder="1" applyFont="1" applyNumberFormat="1">
      <alignment shrinkToFit="0" vertical="bottom" wrapText="0"/>
    </xf>
    <xf borderId="2" fillId="7" fontId="21" numFmtId="165" xfId="0" applyAlignment="1" applyBorder="1" applyFont="1" applyNumberFormat="1">
      <alignment shrinkToFit="0" vertical="bottom" wrapText="0"/>
    </xf>
    <xf borderId="2" fillId="7" fontId="21" numFmtId="170" xfId="0" applyAlignment="1" applyBorder="1" applyFont="1" applyNumberFormat="1">
      <alignment shrinkToFit="0" vertical="bottom" wrapText="0"/>
    </xf>
    <xf borderId="2" fillId="0" fontId="22" numFmtId="169" xfId="0" applyAlignment="1" applyBorder="1" applyFont="1" applyNumberFormat="1">
      <alignment shrinkToFit="0" vertical="bottom" wrapText="0"/>
    </xf>
    <xf borderId="2" fillId="7" fontId="21" numFmtId="166" xfId="0" applyAlignment="1" applyBorder="1" applyFont="1" applyNumberFormat="1">
      <alignment shrinkToFit="0" vertical="bottom" wrapText="0"/>
    </xf>
    <xf borderId="4" fillId="8" fontId="21" numFmtId="0" xfId="0" applyAlignment="1" applyBorder="1" applyFont="1">
      <alignment shrinkToFit="0" vertical="bottom" wrapText="0"/>
    </xf>
    <xf borderId="5" fillId="0" fontId="24" numFmtId="0" xfId="0" applyBorder="1" applyFont="1"/>
    <xf borderId="6" fillId="0" fontId="24" numFmtId="0" xfId="0" applyBorder="1" applyFont="1"/>
    <xf borderId="0" fillId="0" fontId="9" numFmtId="0" xfId="0" applyFont="1"/>
    <xf borderId="3" fillId="6" fontId="19" numFmtId="169" xfId="0" applyAlignment="1" applyBorder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22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71"/>
    <col customWidth="1" min="2" max="2" width="23.86"/>
    <col customWidth="1" min="3" max="3" width="11.14"/>
    <col customWidth="1" min="4" max="4" width="43.29"/>
    <col customWidth="1" min="5" max="5" width="24.57"/>
    <col customWidth="1" min="6" max="6" width="25.57"/>
    <col customWidth="1" min="7" max="7" width="26.0"/>
    <col customWidth="1" min="8" max="8" width="22.86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4">
        <v>399.99</v>
      </c>
      <c r="C2" s="5" t="s">
        <v>10</v>
      </c>
      <c r="D2" s="5">
        <v>395.99</v>
      </c>
      <c r="E2" s="5">
        <v>420.16</v>
      </c>
      <c r="F2" s="5">
        <v>499.99</v>
      </c>
      <c r="G2" s="5">
        <v>376.19</v>
      </c>
      <c r="H2" s="5">
        <v>439.99</v>
      </c>
      <c r="I2" s="5">
        <v>384.11</v>
      </c>
      <c r="J2" s="5">
        <v>364.9</v>
      </c>
      <c r="K2" s="5">
        <v>422.52</v>
      </c>
    </row>
    <row r="3">
      <c r="A3" s="6">
        <v>2.0</v>
      </c>
      <c r="B3" s="7">
        <v>419.99</v>
      </c>
      <c r="C3" s="8" t="s">
        <v>11</v>
      </c>
      <c r="D3" s="8">
        <v>415.99</v>
      </c>
      <c r="E3" s="8">
        <v>441.17</v>
      </c>
      <c r="F3" s="8">
        <v>524.99</v>
      </c>
      <c r="G3" s="8">
        <v>395.19</v>
      </c>
      <c r="H3" s="8">
        <v>461.99</v>
      </c>
      <c r="I3" s="8">
        <v>403.51</v>
      </c>
      <c r="J3" s="8">
        <v>383.33</v>
      </c>
      <c r="K3" s="8">
        <v>443.86</v>
      </c>
    </row>
    <row r="4">
      <c r="A4" s="3">
        <v>3.0</v>
      </c>
      <c r="B4" s="4">
        <v>259.99</v>
      </c>
      <c r="C4" s="9" t="s">
        <v>12</v>
      </c>
      <c r="D4" s="5">
        <v>255.99</v>
      </c>
      <c r="E4" s="5">
        <v>273.1</v>
      </c>
      <c r="F4" s="5">
        <v>324.99</v>
      </c>
      <c r="G4" s="5">
        <v>243.19</v>
      </c>
      <c r="H4" s="5">
        <v>285.99</v>
      </c>
      <c r="I4" s="5">
        <v>248.31</v>
      </c>
      <c r="J4" s="5">
        <v>235.89</v>
      </c>
      <c r="K4" s="5">
        <v>273.14</v>
      </c>
    </row>
    <row r="5">
      <c r="A5" s="6">
        <v>4.0</v>
      </c>
      <c r="B5" s="7">
        <v>269.99</v>
      </c>
      <c r="C5" s="8" t="s">
        <v>13</v>
      </c>
      <c r="D5" s="8">
        <v>265.99</v>
      </c>
      <c r="E5" s="8">
        <v>283.6</v>
      </c>
      <c r="F5" s="8">
        <v>337.49</v>
      </c>
      <c r="G5" s="8">
        <v>252.69</v>
      </c>
      <c r="H5" s="8">
        <v>296.99</v>
      </c>
      <c r="I5" s="8">
        <v>258.01</v>
      </c>
      <c r="J5" s="8">
        <v>245.11</v>
      </c>
      <c r="K5" s="8">
        <v>283.81</v>
      </c>
    </row>
    <row r="6">
      <c r="A6" s="3">
        <v>5.0</v>
      </c>
      <c r="B6" s="4">
        <v>289.99</v>
      </c>
      <c r="C6" s="5" t="s">
        <v>14</v>
      </c>
      <c r="D6" s="5">
        <v>285.99</v>
      </c>
      <c r="E6" s="5">
        <v>304.61</v>
      </c>
      <c r="F6" s="5">
        <v>362.49</v>
      </c>
      <c r="G6" s="5">
        <v>271.69</v>
      </c>
      <c r="H6" s="5">
        <v>318.99</v>
      </c>
      <c r="I6" s="5">
        <v>277.41</v>
      </c>
      <c r="J6" s="5">
        <v>263.54</v>
      </c>
      <c r="K6" s="5">
        <v>305.15</v>
      </c>
    </row>
    <row r="7">
      <c r="A7" s="6">
        <v>6.0</v>
      </c>
      <c r="B7" s="7">
        <v>309.99</v>
      </c>
      <c r="C7" s="8" t="s">
        <v>15</v>
      </c>
      <c r="D7" s="8">
        <v>305.99</v>
      </c>
      <c r="E7" s="8">
        <v>325.62</v>
      </c>
      <c r="F7" s="8">
        <v>387.49</v>
      </c>
      <c r="G7" s="8">
        <v>290.69</v>
      </c>
      <c r="H7" s="8">
        <v>340.99</v>
      </c>
      <c r="I7" s="8">
        <v>296.81</v>
      </c>
      <c r="J7" s="8">
        <v>281.97</v>
      </c>
      <c r="K7" s="8">
        <v>326.49</v>
      </c>
    </row>
    <row r="8">
      <c r="A8" s="3">
        <v>7.0</v>
      </c>
      <c r="B8" s="4">
        <v>259.99</v>
      </c>
      <c r="C8" s="9" t="s">
        <v>12</v>
      </c>
      <c r="D8" s="5">
        <v>255.99</v>
      </c>
      <c r="E8" s="5">
        <v>273.1</v>
      </c>
      <c r="F8" s="5">
        <v>324.99</v>
      </c>
      <c r="G8" s="5">
        <v>243.19</v>
      </c>
      <c r="H8" s="5">
        <v>285.99</v>
      </c>
      <c r="I8" s="5">
        <v>248.31</v>
      </c>
      <c r="J8" s="5">
        <v>235.89</v>
      </c>
      <c r="K8" s="5">
        <v>273.14</v>
      </c>
    </row>
    <row r="9">
      <c r="A9" s="6">
        <v>8.0</v>
      </c>
      <c r="B9" s="7">
        <v>269.99</v>
      </c>
      <c r="C9" s="8" t="s">
        <v>13</v>
      </c>
      <c r="D9" s="8">
        <v>265.99</v>
      </c>
      <c r="E9" s="8">
        <v>283.6</v>
      </c>
      <c r="F9" s="8">
        <v>337.49</v>
      </c>
      <c r="G9" s="8">
        <v>252.69</v>
      </c>
      <c r="H9" s="8">
        <v>296.99</v>
      </c>
      <c r="I9" s="8">
        <v>258.01</v>
      </c>
      <c r="J9" s="8">
        <v>245.11</v>
      </c>
      <c r="K9" s="8">
        <v>283.81</v>
      </c>
    </row>
    <row r="10">
      <c r="A10" s="3">
        <v>9.0</v>
      </c>
      <c r="B10" s="4">
        <v>289.99</v>
      </c>
      <c r="C10" s="5" t="s">
        <v>14</v>
      </c>
      <c r="D10" s="5">
        <v>285.99</v>
      </c>
      <c r="E10" s="5">
        <v>304.61</v>
      </c>
      <c r="F10" s="5">
        <v>362.49</v>
      </c>
      <c r="G10" s="5">
        <v>271.69</v>
      </c>
      <c r="H10" s="5">
        <v>318.99</v>
      </c>
      <c r="I10" s="5">
        <v>277.41</v>
      </c>
      <c r="J10" s="5">
        <v>263.54</v>
      </c>
      <c r="K10" s="5">
        <v>305.15</v>
      </c>
    </row>
    <row r="11">
      <c r="A11" s="6">
        <v>10.0</v>
      </c>
      <c r="B11" s="7">
        <v>309.99</v>
      </c>
      <c r="C11" s="8" t="s">
        <v>15</v>
      </c>
      <c r="D11" s="8">
        <v>305.99</v>
      </c>
      <c r="E11" s="8">
        <v>325.62</v>
      </c>
      <c r="F11" s="8">
        <v>387.49</v>
      </c>
      <c r="G11" s="8">
        <v>290.69</v>
      </c>
      <c r="H11" s="8">
        <v>340.99</v>
      </c>
      <c r="I11" s="8">
        <v>296.81</v>
      </c>
      <c r="J11" s="8">
        <v>281.97</v>
      </c>
      <c r="K11" s="8">
        <v>326.49</v>
      </c>
    </row>
    <row r="12">
      <c r="A12" s="3">
        <v>11.0</v>
      </c>
      <c r="B12" s="4">
        <v>399.99</v>
      </c>
      <c r="C12" s="5" t="s">
        <v>10</v>
      </c>
      <c r="D12" s="5">
        <v>395.99</v>
      </c>
      <c r="E12" s="5">
        <v>420.16</v>
      </c>
      <c r="F12" s="5">
        <v>499.99</v>
      </c>
      <c r="G12" s="5">
        <v>376.19</v>
      </c>
      <c r="H12" s="5">
        <v>439.99</v>
      </c>
      <c r="I12" s="5">
        <v>384.11</v>
      </c>
      <c r="J12" s="5">
        <v>364.9</v>
      </c>
      <c r="K12" s="5">
        <v>422.52</v>
      </c>
    </row>
    <row r="13">
      <c r="A13" s="6">
        <v>12.0</v>
      </c>
      <c r="B13" s="7">
        <v>419.99</v>
      </c>
      <c r="C13" s="8" t="s">
        <v>11</v>
      </c>
      <c r="D13" s="8">
        <v>415.99</v>
      </c>
      <c r="E13" s="8">
        <v>441.17</v>
      </c>
      <c r="F13" s="8">
        <v>524.99</v>
      </c>
      <c r="G13" s="8">
        <v>395.19</v>
      </c>
      <c r="H13" s="8">
        <v>461.99</v>
      </c>
      <c r="I13" s="8">
        <v>403.51</v>
      </c>
      <c r="J13" s="8">
        <v>383.33</v>
      </c>
      <c r="K13" s="8">
        <v>443.86</v>
      </c>
    </row>
    <row r="15">
      <c r="B15" s="10" t="s">
        <v>16</v>
      </c>
    </row>
    <row r="16">
      <c r="B16" s="10" t="s">
        <v>17</v>
      </c>
    </row>
    <row r="17">
      <c r="B17" s="10" t="s">
        <v>18</v>
      </c>
    </row>
    <row r="18">
      <c r="B18" s="10" t="s">
        <v>19</v>
      </c>
    </row>
    <row r="19">
      <c r="B19" s="10" t="s">
        <v>20</v>
      </c>
    </row>
    <row r="20">
      <c r="B20" s="10" t="s">
        <v>21</v>
      </c>
    </row>
    <row r="21">
      <c r="B21" s="10" t="s">
        <v>22</v>
      </c>
    </row>
    <row r="22">
      <c r="B22" s="10" t="s">
        <v>23</v>
      </c>
    </row>
    <row r="24">
      <c r="B24" s="11" t="s">
        <v>24</v>
      </c>
      <c r="C24" s="11"/>
      <c r="D24" s="11" t="s">
        <v>25</v>
      </c>
      <c r="E24" s="11" t="s">
        <v>26</v>
      </c>
      <c r="F24" s="12"/>
      <c r="G24" s="12"/>
      <c r="H24" s="12"/>
    </row>
    <row r="25">
      <c r="B25" s="11" t="s">
        <v>27</v>
      </c>
      <c r="C25" s="11"/>
      <c r="D25" s="11" t="s">
        <v>28</v>
      </c>
      <c r="E25" s="11" t="s">
        <v>29</v>
      </c>
    </row>
    <row r="26">
      <c r="B26" s="11" t="s">
        <v>30</v>
      </c>
      <c r="C26" s="11"/>
      <c r="D26" s="11" t="s">
        <v>31</v>
      </c>
      <c r="E26" s="11" t="s">
        <v>32</v>
      </c>
    </row>
    <row r="27">
      <c r="B27" s="11" t="s">
        <v>33</v>
      </c>
      <c r="C27" s="11"/>
      <c r="D27" s="11" t="s">
        <v>34</v>
      </c>
      <c r="E27" s="11" t="s">
        <v>35</v>
      </c>
    </row>
    <row r="28">
      <c r="B28" s="11" t="s">
        <v>36</v>
      </c>
      <c r="C28" s="11"/>
      <c r="D28" s="11" t="s">
        <v>37</v>
      </c>
      <c r="E28" s="11" t="s">
        <v>38</v>
      </c>
      <c r="H28" s="12"/>
    </row>
    <row r="29">
      <c r="B29" s="11" t="s">
        <v>39</v>
      </c>
      <c r="C29" s="11"/>
      <c r="D29" s="11" t="s">
        <v>40</v>
      </c>
      <c r="E29" s="11" t="s">
        <v>41</v>
      </c>
      <c r="H29" s="12"/>
    </row>
    <row r="30">
      <c r="B30" s="11" t="s">
        <v>42</v>
      </c>
      <c r="C30" s="11"/>
      <c r="D30" s="11" t="s">
        <v>43</v>
      </c>
      <c r="E30" s="12" t="str">
        <f>+10% к текущей цене</f>
        <v>#ERROR!</v>
      </c>
      <c r="G30" s="12"/>
      <c r="H30" s="12"/>
    </row>
    <row r="31">
      <c r="B31" s="11" t="s">
        <v>44</v>
      </c>
      <c r="C31" s="11"/>
      <c r="D31" s="11" t="s">
        <v>45</v>
      </c>
      <c r="E31" s="11" t="s">
        <v>46</v>
      </c>
    </row>
  </sheetData>
  <mergeCells count="7">
    <mergeCell ref="E25:H25"/>
    <mergeCell ref="E26:H26"/>
    <mergeCell ref="E27:H27"/>
    <mergeCell ref="E28:G28"/>
    <mergeCell ref="E29:G29"/>
    <mergeCell ref="E30:F30"/>
    <mergeCell ref="E31:H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3"/>
      <c r="B1" s="13"/>
      <c r="C1" s="13"/>
      <c r="D1" s="13"/>
      <c r="E1" s="13"/>
      <c r="F1" s="13"/>
      <c r="G1" s="13"/>
      <c r="H1" s="13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/>
      <c r="B2" s="15" t="s">
        <v>47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/>
      <c r="B3" s="13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/>
      <c r="B4" s="16" t="s">
        <v>48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/>
      <c r="B5" s="13"/>
      <c r="C5" s="13"/>
      <c r="D5" s="13"/>
      <c r="E5" s="13"/>
      <c r="F5" s="13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/>
      <c r="B6" s="17" t="s">
        <v>49</v>
      </c>
      <c r="C6" s="13"/>
      <c r="D6" s="13"/>
      <c r="E6" s="13"/>
      <c r="F6" s="13"/>
      <c r="G6" s="13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/>
      <c r="B7" s="18" t="s">
        <v>50</v>
      </c>
      <c r="C7" s="13"/>
      <c r="D7" s="19">
        <v>12.0</v>
      </c>
      <c r="E7" s="13"/>
      <c r="F7" s="13"/>
      <c r="G7" s="13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/>
      <c r="B8" s="18" t="s">
        <v>51</v>
      </c>
      <c r="C8" s="13"/>
      <c r="D8" s="20">
        <v>0.19</v>
      </c>
      <c r="E8" s="13"/>
      <c r="F8" s="13"/>
      <c r="G8" s="13"/>
      <c r="H8" s="1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/>
      <c r="B9" s="18" t="s">
        <v>52</v>
      </c>
      <c r="C9" s="13"/>
      <c r="D9" s="19" t="s">
        <v>53</v>
      </c>
      <c r="E9" s="13"/>
      <c r="F9" s="13"/>
      <c r="G9" s="13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/>
      <c r="B10" s="18" t="s">
        <v>54</v>
      </c>
      <c r="C10" s="13"/>
      <c r="D10" s="19" t="s">
        <v>55</v>
      </c>
      <c r="E10" s="13"/>
      <c r="F10" s="13"/>
      <c r="G10" s="13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/>
      <c r="B11" s="18" t="s">
        <v>56</v>
      </c>
      <c r="C11" s="13"/>
      <c r="D11" s="19" t="s">
        <v>57</v>
      </c>
      <c r="F11" s="13"/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/>
      <c r="B12" s="13"/>
      <c r="C12" s="13"/>
      <c r="D12" s="13"/>
      <c r="E12" s="13"/>
      <c r="F12" s="13"/>
      <c r="G12" s="13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/>
      <c r="B13" s="17" t="s">
        <v>58</v>
      </c>
      <c r="C13" s="13"/>
      <c r="D13" s="13"/>
      <c r="E13" s="13"/>
      <c r="F13" s="13"/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/>
      <c r="B14" s="18" t="s">
        <v>59</v>
      </c>
      <c r="C14" s="18" t="s">
        <v>60</v>
      </c>
      <c r="D14" s="13"/>
      <c r="E14" s="13"/>
      <c r="F14" s="13"/>
      <c r="G14" s="13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/>
      <c r="B15" s="21" t="s">
        <v>61</v>
      </c>
      <c r="C15" s="21" t="s">
        <v>62</v>
      </c>
      <c r="D15" s="13"/>
      <c r="E15" s="13"/>
      <c r="F15" s="13"/>
      <c r="G15" s="13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/>
      <c r="B16" s="13"/>
      <c r="C16" s="13"/>
      <c r="D16" s="13"/>
      <c r="E16" s="13"/>
      <c r="F16" s="13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/>
      <c r="B17" s="22" t="s">
        <v>63</v>
      </c>
      <c r="C17" s="13"/>
      <c r="D17" s="13"/>
      <c r="E17" s="13"/>
      <c r="F17" s="13"/>
      <c r="G17" s="13"/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/>
      <c r="B18" s="23" t="s">
        <v>64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5.5" customHeight="1">
      <c r="A20" s="1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4">
    <mergeCell ref="B2:H2"/>
    <mergeCell ref="B4:H4"/>
    <mergeCell ref="D11:E11"/>
    <mergeCell ref="B18:H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" width="13.0"/>
    <col customWidth="1" min="3" max="3" width="38.0"/>
    <col customWidth="1" min="4" max="4" width="12.0"/>
    <col customWidth="1" min="5" max="6" width="13.0"/>
    <col customWidth="1" min="7" max="7" width="18.0"/>
    <col customWidth="1" min="8" max="8" width="12.0"/>
    <col customWidth="1" min="9" max="9" width="16.0"/>
    <col customWidth="1" min="10" max="26" width="8.71"/>
  </cols>
  <sheetData>
    <row r="1">
      <c r="A1" s="24" t="s">
        <v>65</v>
      </c>
    </row>
    <row r="3" ht="37.5" customHeight="1">
      <c r="A3" s="25" t="s">
        <v>66</v>
      </c>
      <c r="B3" s="25" t="s">
        <v>67</v>
      </c>
      <c r="C3" s="25" t="s">
        <v>68</v>
      </c>
      <c r="D3" s="25" t="s">
        <v>69</v>
      </c>
      <c r="E3" s="25" t="s">
        <v>70</v>
      </c>
      <c r="F3" s="25" t="s">
        <v>71</v>
      </c>
      <c r="G3" s="25" t="s">
        <v>72</v>
      </c>
      <c r="H3" s="25" t="s">
        <v>73</v>
      </c>
      <c r="I3" s="25" t="s">
        <v>74</v>
      </c>
    </row>
    <row r="4">
      <c r="A4" s="26" t="s">
        <v>11</v>
      </c>
      <c r="B4" s="26" t="s">
        <v>75</v>
      </c>
      <c r="C4" s="26" t="s">
        <v>76</v>
      </c>
      <c r="D4" s="27">
        <v>16.85</v>
      </c>
      <c r="E4" s="27">
        <v>0.0</v>
      </c>
      <c r="F4" s="27">
        <v>112.32</v>
      </c>
      <c r="G4" s="27">
        <v>19.99</v>
      </c>
      <c r="H4" s="28">
        <f t="shared" ref="H4:H9" si="1">F4+G4</f>
        <v>132.31</v>
      </c>
      <c r="I4" s="29">
        <v>0.15</v>
      </c>
    </row>
    <row r="5">
      <c r="A5" s="26" t="s">
        <v>10</v>
      </c>
      <c r="B5" s="26" t="s">
        <v>77</v>
      </c>
      <c r="C5" s="26" t="s">
        <v>78</v>
      </c>
      <c r="D5" s="27">
        <v>15.98</v>
      </c>
      <c r="E5" s="27">
        <v>5.55</v>
      </c>
      <c r="F5" s="27">
        <v>99.0</v>
      </c>
      <c r="G5" s="27">
        <v>19.99</v>
      </c>
      <c r="H5" s="28">
        <f t="shared" si="1"/>
        <v>118.99</v>
      </c>
      <c r="I5" s="29">
        <v>0.15</v>
      </c>
    </row>
    <row r="6">
      <c r="A6" s="26" t="s">
        <v>15</v>
      </c>
      <c r="B6" s="26" t="s">
        <v>79</v>
      </c>
      <c r="C6" s="26" t="s">
        <v>80</v>
      </c>
      <c r="D6" s="27">
        <v>30.02</v>
      </c>
      <c r="E6" s="27">
        <v>4.24</v>
      </c>
      <c r="F6" s="27">
        <v>73.21</v>
      </c>
      <c r="G6" s="27">
        <v>5.04</v>
      </c>
      <c r="H6" s="28">
        <f t="shared" si="1"/>
        <v>78.25</v>
      </c>
      <c r="I6" s="29">
        <v>0.15</v>
      </c>
    </row>
    <row r="7">
      <c r="A7" s="26" t="s">
        <v>14</v>
      </c>
      <c r="B7" s="26" t="s">
        <v>81</v>
      </c>
      <c r="C7" s="26" t="s">
        <v>82</v>
      </c>
      <c r="D7" s="27">
        <v>30.02</v>
      </c>
      <c r="E7" s="27">
        <v>4.24</v>
      </c>
      <c r="F7" s="27">
        <v>66.56</v>
      </c>
      <c r="G7" s="27">
        <v>5.04</v>
      </c>
      <c r="H7" s="28">
        <f t="shared" si="1"/>
        <v>71.6</v>
      </c>
      <c r="I7" s="29">
        <v>0.15</v>
      </c>
    </row>
    <row r="8">
      <c r="A8" s="26" t="s">
        <v>13</v>
      </c>
      <c r="B8" s="26" t="s">
        <v>83</v>
      </c>
      <c r="C8" s="26" t="s">
        <v>84</v>
      </c>
      <c r="D8" s="27">
        <v>32.64</v>
      </c>
      <c r="E8" s="27">
        <v>4.73</v>
      </c>
      <c r="F8" s="27">
        <v>57.41</v>
      </c>
      <c r="G8" s="27">
        <v>5.04</v>
      </c>
      <c r="H8" s="28">
        <f t="shared" si="1"/>
        <v>62.45</v>
      </c>
      <c r="I8" s="29">
        <v>0.15</v>
      </c>
    </row>
    <row r="9">
      <c r="A9" s="26" t="s">
        <v>12</v>
      </c>
      <c r="B9" s="26" t="s">
        <v>85</v>
      </c>
      <c r="C9" s="26" t="s">
        <v>86</v>
      </c>
      <c r="D9" s="27">
        <v>32.64</v>
      </c>
      <c r="E9" s="27">
        <v>4.73</v>
      </c>
      <c r="F9" s="27">
        <v>53.25</v>
      </c>
      <c r="G9" s="27">
        <v>5.04</v>
      </c>
      <c r="H9" s="28">
        <f t="shared" si="1"/>
        <v>58.29</v>
      </c>
      <c r="I9" s="29">
        <v>0.15</v>
      </c>
    </row>
    <row r="12">
      <c r="A12" s="30" t="s">
        <v>87</v>
      </c>
    </row>
    <row r="13">
      <c r="A13" s="31" t="s">
        <v>88</v>
      </c>
    </row>
    <row r="14">
      <c r="A14" s="32" t="s">
        <v>89</v>
      </c>
    </row>
    <row r="15">
      <c r="A15" s="33" t="s">
        <v>90</v>
      </c>
    </row>
    <row r="17">
      <c r="A17" s="30" t="s">
        <v>91</v>
      </c>
    </row>
    <row r="18">
      <c r="A18" s="34" t="s">
        <v>92</v>
      </c>
    </row>
    <row r="19">
      <c r="A19" s="34" t="s">
        <v>93</v>
      </c>
    </row>
    <row r="20">
      <c r="A20" s="34" t="s">
        <v>94</v>
      </c>
    </row>
    <row r="21">
      <c r="A21" s="34" t="s">
        <v>95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I1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46.0"/>
    <col customWidth="1" min="2" max="2" width="14.0"/>
    <col customWidth="1" min="3" max="3" width="75.0"/>
    <col customWidth="1" min="4" max="26" width="8.71"/>
  </cols>
  <sheetData>
    <row r="1">
      <c r="A1" s="24" t="s">
        <v>96</v>
      </c>
    </row>
    <row r="3">
      <c r="A3" s="25" t="s">
        <v>97</v>
      </c>
      <c r="B3" s="25" t="s">
        <v>98</v>
      </c>
      <c r="C3" s="25" t="s">
        <v>99</v>
      </c>
    </row>
    <row r="4">
      <c r="A4" s="35" t="s">
        <v>100</v>
      </c>
      <c r="B4" s="29">
        <v>0.19</v>
      </c>
      <c r="C4" s="36" t="s">
        <v>101</v>
      </c>
    </row>
    <row r="5">
      <c r="A5" s="35" t="s">
        <v>102</v>
      </c>
      <c r="B5" s="29">
        <v>0.05</v>
      </c>
      <c r="C5" s="36" t="s">
        <v>103</v>
      </c>
    </row>
    <row r="6">
      <c r="A6" s="35" t="s">
        <v>104</v>
      </c>
      <c r="B6" s="27">
        <v>399.0</v>
      </c>
      <c r="C6" s="36" t="s">
        <v>105</v>
      </c>
    </row>
    <row r="7">
      <c r="A7" s="35" t="s">
        <v>106</v>
      </c>
      <c r="B7" s="37">
        <v>0.953</v>
      </c>
      <c r="C7" s="36" t="s">
        <v>107</v>
      </c>
    </row>
    <row r="8">
      <c r="A8" s="35" t="s">
        <v>108</v>
      </c>
      <c r="B8" s="38">
        <v>12.27</v>
      </c>
      <c r="C8" s="36" t="s">
        <v>109</v>
      </c>
    </row>
    <row r="9">
      <c r="A9" s="35" t="s">
        <v>110</v>
      </c>
      <c r="B9" s="29">
        <v>0.08</v>
      </c>
      <c r="C9" s="36" t="s">
        <v>111</v>
      </c>
    </row>
    <row r="10">
      <c r="A10" s="35" t="s">
        <v>112</v>
      </c>
      <c r="B10" s="29">
        <v>0.0</v>
      </c>
      <c r="C10" s="36" t="s">
        <v>113</v>
      </c>
    </row>
    <row r="11">
      <c r="A11" s="35" t="s">
        <v>114</v>
      </c>
      <c r="B11" s="29">
        <v>0.05</v>
      </c>
      <c r="C11" s="36" t="s">
        <v>115</v>
      </c>
    </row>
    <row r="12">
      <c r="A12" s="35" t="s">
        <v>116</v>
      </c>
      <c r="B12" s="29">
        <v>0.07</v>
      </c>
      <c r="C12" s="36" t="s">
        <v>117</v>
      </c>
    </row>
    <row r="13">
      <c r="A13" s="35" t="s">
        <v>118</v>
      </c>
      <c r="B13" s="29">
        <v>0.1</v>
      </c>
      <c r="C13" s="36" t="s">
        <v>119</v>
      </c>
    </row>
    <row r="14">
      <c r="A14" s="35" t="s">
        <v>120</v>
      </c>
      <c r="B14" s="29">
        <v>0.1</v>
      </c>
      <c r="C14" s="36" t="s">
        <v>121</v>
      </c>
    </row>
    <row r="15">
      <c r="A15" s="35" t="s">
        <v>122</v>
      </c>
      <c r="B15" s="29">
        <v>0.025</v>
      </c>
      <c r="C15" s="36" t="s">
        <v>123</v>
      </c>
    </row>
    <row r="16">
      <c r="A16" s="35" t="s">
        <v>124</v>
      </c>
      <c r="B16" s="27">
        <v>5.0</v>
      </c>
      <c r="C16" s="36" t="s">
        <v>125</v>
      </c>
    </row>
    <row r="17">
      <c r="A17" s="35" t="s">
        <v>126</v>
      </c>
      <c r="B17" s="29">
        <v>0.15</v>
      </c>
      <c r="C17" s="36" t="s">
        <v>127</v>
      </c>
    </row>
    <row r="18">
      <c r="A18" s="35" t="s">
        <v>128</v>
      </c>
      <c r="B18" s="29">
        <v>0.015</v>
      </c>
      <c r="C18" s="36" t="s">
        <v>129</v>
      </c>
    </row>
    <row r="19">
      <c r="A19" s="35" t="s">
        <v>130</v>
      </c>
      <c r="B19" s="27">
        <v>300.0</v>
      </c>
      <c r="C19" s="36" t="s">
        <v>131</v>
      </c>
    </row>
    <row r="20">
      <c r="A20" s="35" t="s">
        <v>132</v>
      </c>
      <c r="B20" s="29">
        <v>0.2</v>
      </c>
      <c r="C20" s="36" t="s">
        <v>133</v>
      </c>
    </row>
    <row r="21">
      <c r="A21" s="35" t="s">
        <v>134</v>
      </c>
      <c r="B21" s="27">
        <v>100.0</v>
      </c>
      <c r="C21" s="36" t="s">
        <v>135</v>
      </c>
    </row>
    <row r="22">
      <c r="A22" s="35" t="s">
        <v>136</v>
      </c>
      <c r="B22" s="29">
        <v>0.15</v>
      </c>
      <c r="C22" s="36" t="s">
        <v>137</v>
      </c>
    </row>
    <row r="23">
      <c r="A23" s="35" t="s">
        <v>138</v>
      </c>
      <c r="B23" s="27">
        <v>200.0</v>
      </c>
      <c r="C23" s="36" t="s">
        <v>139</v>
      </c>
    </row>
    <row r="24">
      <c r="A24" s="35" t="s">
        <v>140</v>
      </c>
      <c r="B24" s="29">
        <v>0.15</v>
      </c>
      <c r="C24" s="36"/>
    </row>
    <row r="25">
      <c r="A25" s="35" t="s">
        <v>141</v>
      </c>
      <c r="B25" s="29">
        <v>0.1</v>
      </c>
      <c r="C25" s="36"/>
    </row>
    <row r="26">
      <c r="A26" s="35" t="s">
        <v>142</v>
      </c>
      <c r="B26" s="27">
        <v>0.3</v>
      </c>
      <c r="C26" s="36" t="s">
        <v>143</v>
      </c>
    </row>
    <row r="27">
      <c r="A27" s="35" t="s">
        <v>144</v>
      </c>
      <c r="B27" s="29">
        <v>0.0</v>
      </c>
      <c r="C27" s="36" t="s">
        <v>145</v>
      </c>
    </row>
    <row r="28">
      <c r="A28" s="35" t="s">
        <v>146</v>
      </c>
      <c r="B28" s="29">
        <v>0.0</v>
      </c>
      <c r="C28" s="36" t="s">
        <v>147</v>
      </c>
    </row>
    <row r="29">
      <c r="A29" s="35" t="s">
        <v>148</v>
      </c>
      <c r="B29" s="29">
        <v>1.0</v>
      </c>
      <c r="C29" s="36" t="s">
        <v>149</v>
      </c>
    </row>
    <row r="30">
      <c r="A30" s="35" t="s">
        <v>150</v>
      </c>
      <c r="B30" s="29">
        <v>1.0</v>
      </c>
      <c r="C30" s="36" t="s">
        <v>151</v>
      </c>
    </row>
    <row r="31">
      <c r="A31" s="35" t="s">
        <v>152</v>
      </c>
      <c r="B31" s="27">
        <v>0.0</v>
      </c>
      <c r="C31" s="36"/>
    </row>
    <row r="32">
      <c r="A32" s="35" t="s">
        <v>153</v>
      </c>
      <c r="B32" s="27">
        <v>0.0</v>
      </c>
      <c r="C32" s="36"/>
    </row>
    <row r="33">
      <c r="A33" s="35" t="s">
        <v>154</v>
      </c>
      <c r="B33" s="27">
        <v>0.0</v>
      </c>
      <c r="C33" s="36" t="s">
        <v>155</v>
      </c>
    </row>
    <row r="34"/>
    <row r="35"/>
    <row r="36">
      <c r="A36" s="30" t="s">
        <v>156</v>
      </c>
    </row>
    <row r="37">
      <c r="A37" s="34" t="s">
        <v>157</v>
      </c>
    </row>
    <row r="38">
      <c r="A38" s="34" t="s">
        <v>158</v>
      </c>
    </row>
    <row r="39">
      <c r="A39" s="34" t="s">
        <v>159</v>
      </c>
    </row>
    <row r="40">
      <c r="A40" s="34" t="s">
        <v>160</v>
      </c>
    </row>
    <row r="41">
      <c r="A41" s="34" t="s">
        <v>161</v>
      </c>
    </row>
    <row r="42">
      <c r="A42" s="34" t="s">
        <v>162</v>
      </c>
    </row>
    <row r="43">
      <c r="A43" s="34" t="s">
        <v>163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75"/>
  <cols>
    <col customWidth="1" min="1" max="2" width="12.0"/>
    <col customWidth="1" min="3" max="4" width="14.0"/>
    <col customWidth="1" min="5" max="5" width="11.0"/>
    <col customWidth="1" min="6" max="6" width="12.0"/>
    <col customWidth="1" min="7" max="11" width="11.0"/>
    <col customWidth="1" min="12" max="12" width="12.0"/>
    <col customWidth="1" min="13" max="14" width="11.0"/>
    <col customWidth="1" min="15" max="15" width="12.0"/>
    <col customWidth="1" min="16" max="16" width="13.0"/>
    <col customWidth="1" min="17" max="17" width="8.0"/>
    <col customWidth="1" min="18" max="18" width="14.0"/>
    <col customWidth="1" min="19" max="19" width="8.0"/>
    <col customWidth="1" min="20" max="26" width="8.71"/>
  </cols>
  <sheetData>
    <row r="1">
      <c r="A1" s="24" t="s">
        <v>164</v>
      </c>
    </row>
    <row r="2">
      <c r="A2" s="34" t="s">
        <v>165</v>
      </c>
    </row>
    <row r="4" ht="42.0" customHeight="1">
      <c r="A4" s="25" t="s">
        <v>66</v>
      </c>
      <c r="B4" s="25" t="s">
        <v>67</v>
      </c>
      <c r="C4" s="25" t="s">
        <v>166</v>
      </c>
      <c r="D4" s="25" t="s">
        <v>167</v>
      </c>
      <c r="E4" s="25" t="s">
        <v>168</v>
      </c>
      <c r="F4" s="25" t="s">
        <v>169</v>
      </c>
      <c r="G4" s="25" t="s">
        <v>170</v>
      </c>
      <c r="H4" s="25" t="s">
        <v>171</v>
      </c>
      <c r="I4" s="25" t="s">
        <v>172</v>
      </c>
      <c r="J4" s="25" t="s">
        <v>173</v>
      </c>
      <c r="K4" s="25" t="s">
        <v>174</v>
      </c>
      <c r="L4" s="25" t="s">
        <v>175</v>
      </c>
      <c r="M4" s="25" t="s">
        <v>176</v>
      </c>
      <c r="N4" s="25" t="s">
        <v>177</v>
      </c>
      <c r="O4" s="25" t="s">
        <v>178</v>
      </c>
      <c r="P4" s="25" t="s">
        <v>179</v>
      </c>
      <c r="Q4" s="25" t="s">
        <v>180</v>
      </c>
      <c r="R4" s="25" t="s">
        <v>181</v>
      </c>
      <c r="S4" s="25" t="s">
        <v>182</v>
      </c>
    </row>
    <row r="5">
      <c r="A5" s="9" t="s">
        <v>11</v>
      </c>
      <c r="B5" s="39" t="str">
        <f>VLOOKUP(A5,'SKU-ASIN'!$A$4:$I$9,2,FALSE())</f>
        <v>B0D8PFB4VR</v>
      </c>
      <c r="C5" s="9" t="s">
        <v>183</v>
      </c>
      <c r="D5" s="9" t="s">
        <v>184</v>
      </c>
      <c r="E5" s="40">
        <v>415.99</v>
      </c>
      <c r="F5" s="41">
        <f>E5</f>
        <v>415.99</v>
      </c>
      <c r="G5" s="41">
        <f>F5/(1+Inputs!$B$4)</f>
        <v>349.5714286</v>
      </c>
      <c r="H5" s="41">
        <f t="shared" ref="H5:I5" si="1">0</f>
        <v>0</v>
      </c>
      <c r="I5" s="41">
        <f t="shared" si="1"/>
        <v>0</v>
      </c>
      <c r="J5" s="41">
        <f>MAX(Inputs!$B$26,IF(F5&lt;=Inputs!$B$23,F5*Inputs!$B$24,Inputs!$B$23*Inputs!$B$24+(F5-Inputs!$B$23)*Inputs!$B$25))</f>
        <v>51.599</v>
      </c>
      <c r="K5" s="42">
        <f>'SKU-ASIN'!$D$4</f>
        <v>16.85</v>
      </c>
      <c r="L5" s="42">
        <f>'SKU-ASIN'!$E$4</f>
        <v>0</v>
      </c>
      <c r="M5" s="42">
        <f>F5*'SKU-ASIN'!$I$4</f>
        <v>62.3985</v>
      </c>
      <c r="N5" s="41">
        <f>G5*Inputs!$B$9</f>
        <v>27.96571429</v>
      </c>
      <c r="O5" s="42">
        <f>'SKU-ASIN'!$H$4</f>
        <v>132.31</v>
      </c>
      <c r="P5" s="43">
        <f t="shared" ref="P5:P12" si="2">G5-J5-K5-L5-M5-N5-I5-H5-O5</f>
        <v>58.44821429</v>
      </c>
      <c r="Q5" s="44">
        <f t="shared" ref="Q5:Q12" si="3">IFERROR(P5/G5,0)</f>
        <v>0.1671996322</v>
      </c>
      <c r="R5" s="43">
        <f>IF(((K5+L5+O5)/(1/(1+Inputs!$B$4)-Inputs!$B$24-'SKU-ASIN'!$I$4-Inputs!$B$9/(1+Inputs!$B$4)))&lt;=Inputs!$B$23,((K5+L5+O5)/(1/(1+Inputs!$B$4)-Inputs!$B$24-'SKU-ASIN'!$I$4-Inputs!$B$9/(1+Inputs!$B$4))),((K5+L5+O5+Inputs!$B$23*(Inputs!$B$24-Inputs!$B$25))/(1/(1+Inputs!$B$4)-Inputs!$B$25-'SKU-ASIN'!$I$4-Inputs!$B$9/(1+Inputs!$B$4))))</f>
        <v>304.2576707</v>
      </c>
      <c r="S5" s="44">
        <f t="shared" ref="S5:S12" si="4">IFERROR(P5/O5,0)</f>
        <v>0.4417520542</v>
      </c>
    </row>
    <row r="6">
      <c r="A6" s="9" t="s">
        <v>11</v>
      </c>
      <c r="B6" s="39" t="str">
        <f>VLOOKUP(A6,'SKU-ASIN'!$A$4:$I$9,2,FALSE())</f>
        <v>B0D8PFB4VR</v>
      </c>
      <c r="C6" s="9" t="s">
        <v>183</v>
      </c>
      <c r="D6" s="9" t="s">
        <v>185</v>
      </c>
      <c r="E6" s="45">
        <f>E5</f>
        <v>415.99</v>
      </c>
      <c r="F6" s="41">
        <f>E6*(1-Inputs!$B$14)</f>
        <v>374.391</v>
      </c>
      <c r="G6" s="41">
        <f>F6/(1+Inputs!$B$4)</f>
        <v>314.6142857</v>
      </c>
      <c r="H6" s="41">
        <f>F6*Inputs!$B$15</f>
        <v>9.359775</v>
      </c>
      <c r="I6" s="41">
        <f>0</f>
        <v>0</v>
      </c>
      <c r="J6" s="41">
        <f>MAX(Inputs!$B$26,IF(F6&lt;=Inputs!$B$23,F6*Inputs!$B$24,Inputs!$B$23*Inputs!$B$24+(F6-Inputs!$B$23)*Inputs!$B$25))</f>
        <v>47.4391</v>
      </c>
      <c r="K6" s="42">
        <f>'SKU-ASIN'!$D$4</f>
        <v>16.85</v>
      </c>
      <c r="L6" s="42">
        <f>'SKU-ASIN'!$E$4</f>
        <v>0</v>
      </c>
      <c r="M6" s="42">
        <f>F6*'SKU-ASIN'!$I$4</f>
        <v>56.15865</v>
      </c>
      <c r="N6" s="41">
        <f>G6*Inputs!$B$9</f>
        <v>25.16914286</v>
      </c>
      <c r="O6" s="42">
        <f>'SKU-ASIN'!$H$4</f>
        <v>132.31</v>
      </c>
      <c r="P6" s="43">
        <f t="shared" si="2"/>
        <v>27.32761786</v>
      </c>
      <c r="Q6" s="44">
        <f t="shared" si="3"/>
        <v>0.08686070245</v>
      </c>
      <c r="R6" s="43">
        <f>IF(((K6+L6+O6)/(1/(1+Inputs!$B$4)-Inputs!$B$24-'SKU-ASIN'!$I$4-Inputs!$B$9/(1+Inputs!$B$4)))&lt;=Inputs!$B$23,((K6+L6+O6)/(1/(1+Inputs!$B$4)-Inputs!$B$24-'SKU-ASIN'!$I$4-Inputs!$B$9/(1+Inputs!$B$4))),((K6+L6+O6+Inputs!$B$23*(Inputs!$B$24-Inputs!$B$25))/(1/(1+Inputs!$B$4)-Inputs!$B$25-'SKU-ASIN'!$I$4-Inputs!$B$9/(1+Inputs!$B$4))))</f>
        <v>304.2576707</v>
      </c>
      <c r="S6" s="44">
        <f t="shared" si="4"/>
        <v>0.2065423464</v>
      </c>
    </row>
    <row r="7">
      <c r="A7" s="9" t="s">
        <v>11</v>
      </c>
      <c r="B7" s="39" t="str">
        <f>VLOOKUP(A7,'SKU-ASIN'!$A$4:$I$9,2,FALSE())</f>
        <v>B0D8PFB4VR</v>
      </c>
      <c r="C7" s="9" t="s">
        <v>183</v>
      </c>
      <c r="D7" s="9" t="s">
        <v>186</v>
      </c>
      <c r="E7" s="45">
        <f>E5</f>
        <v>415.99</v>
      </c>
      <c r="F7" s="41">
        <f>E7*(1-Inputs!$B$17)</f>
        <v>353.5915</v>
      </c>
      <c r="G7" s="41">
        <f>F7/(1+Inputs!$B$4)</f>
        <v>297.1357143</v>
      </c>
      <c r="H7" s="41">
        <f t="shared" ref="H7:H12" si="5">0</f>
        <v>0</v>
      </c>
      <c r="I7" s="41">
        <f>F7*Inputs!$B$18</f>
        <v>5.3038725</v>
      </c>
      <c r="J7" s="41">
        <f>MAX(Inputs!$B$26,IF(F7&lt;=Inputs!$B$23,F7*Inputs!$B$24,Inputs!$B$23*Inputs!$B$24+(F7-Inputs!$B$23)*Inputs!$B$25))</f>
        <v>45.35915</v>
      </c>
      <c r="K7" s="42">
        <f>'SKU-ASIN'!$D$4</f>
        <v>16.85</v>
      </c>
      <c r="L7" s="42">
        <f>'SKU-ASIN'!$E$4</f>
        <v>0</v>
      </c>
      <c r="M7" s="42">
        <f>F7*'SKU-ASIN'!$I$4</f>
        <v>53.038725</v>
      </c>
      <c r="N7" s="41">
        <f>G7*Inputs!$B$9</f>
        <v>23.77085714</v>
      </c>
      <c r="O7" s="42">
        <f>'SKU-ASIN'!$H$4</f>
        <v>132.31</v>
      </c>
      <c r="P7" s="43">
        <f t="shared" si="2"/>
        <v>20.50310964</v>
      </c>
      <c r="Q7" s="44">
        <f t="shared" si="3"/>
        <v>0.06900250847</v>
      </c>
      <c r="R7" s="43">
        <f>IF(((K7+L7+O7)/(1/(1+Inputs!$B$4)-Inputs!$B$24-'SKU-ASIN'!$I$4-Inputs!$B$9/(1+Inputs!$B$4)))&lt;=Inputs!$B$23,((K7+L7+O7)/(1/(1+Inputs!$B$4)-Inputs!$B$24-'SKU-ASIN'!$I$4-Inputs!$B$9/(1+Inputs!$B$4))),((K7+L7+O7+Inputs!$B$23*(Inputs!$B$24-Inputs!$B$25))/(1/(1+Inputs!$B$4)-Inputs!$B$25-'SKU-ASIN'!$I$4-Inputs!$B$9/(1+Inputs!$B$4))))</f>
        <v>304.2576707</v>
      </c>
      <c r="S7" s="44">
        <f t="shared" si="4"/>
        <v>0.1549626607</v>
      </c>
    </row>
    <row r="8">
      <c r="A8" s="9" t="s">
        <v>11</v>
      </c>
      <c r="B8" s="39" t="str">
        <f>VLOOKUP(A8,'SKU-ASIN'!$A$4:$I$9,2,FALSE())</f>
        <v>B0D8PFB4VR</v>
      </c>
      <c r="C8" s="9" t="s">
        <v>183</v>
      </c>
      <c r="D8" s="9" t="s">
        <v>187</v>
      </c>
      <c r="E8" s="45">
        <f>E5</f>
        <v>415.99</v>
      </c>
      <c r="F8" s="41">
        <f>E8*(1-Inputs!$B$20)</f>
        <v>332.792</v>
      </c>
      <c r="G8" s="41">
        <f>F8/(1+Inputs!$B$4)</f>
        <v>279.6571429</v>
      </c>
      <c r="H8" s="41">
        <f t="shared" si="5"/>
        <v>0</v>
      </c>
      <c r="I8" s="41">
        <f t="shared" ref="I8:I12" si="6">0</f>
        <v>0</v>
      </c>
      <c r="J8" s="41">
        <f>MAX(Inputs!$B$26,IF(F8&lt;=Inputs!$B$23,F8*Inputs!$B$24,Inputs!$B$23*Inputs!$B$24+(F8-Inputs!$B$23)*Inputs!$B$25))</f>
        <v>43.2792</v>
      </c>
      <c r="K8" s="42">
        <f>'SKU-ASIN'!$D$4</f>
        <v>16.85</v>
      </c>
      <c r="L8" s="42">
        <f>'SKU-ASIN'!$E$4</f>
        <v>0</v>
      </c>
      <c r="M8" s="42">
        <f>F8*'SKU-ASIN'!$I$4</f>
        <v>49.9188</v>
      </c>
      <c r="N8" s="41">
        <f>G8*Inputs!$B$9</f>
        <v>22.37257143</v>
      </c>
      <c r="O8" s="42">
        <f>'SKU-ASIN'!$H$4</f>
        <v>132.31</v>
      </c>
      <c r="P8" s="43">
        <f t="shared" si="2"/>
        <v>14.92657143</v>
      </c>
      <c r="Q8" s="44">
        <f t="shared" si="3"/>
        <v>0.05337454025</v>
      </c>
      <c r="R8" s="43">
        <f>IF(((K8+L8+O8)/(1/(1+Inputs!$B$4)-Inputs!$B$24-'SKU-ASIN'!$I$4-Inputs!$B$9/(1+Inputs!$B$4)))&lt;=Inputs!$B$23,((K8+L8+O8)/(1/(1+Inputs!$B$4)-Inputs!$B$24-'SKU-ASIN'!$I$4-Inputs!$B$9/(1+Inputs!$B$4))),((K8+L8+O8+Inputs!$B$23*(Inputs!$B$24-Inputs!$B$25))/(1/(1+Inputs!$B$4)-Inputs!$B$25-'SKU-ASIN'!$I$4-Inputs!$B$9/(1+Inputs!$B$4))))</f>
        <v>304.2576707</v>
      </c>
      <c r="S8" s="44">
        <f t="shared" si="4"/>
        <v>0.1128151419</v>
      </c>
    </row>
    <row r="9">
      <c r="A9" s="9" t="s">
        <v>11</v>
      </c>
      <c r="B9" s="39" t="str">
        <f>VLOOKUP(A9,'SKU-ASIN'!$A$4:$I$9,2,FALSE())</f>
        <v>B0D8PFB4VR</v>
      </c>
      <c r="C9" s="9" t="s">
        <v>188</v>
      </c>
      <c r="D9" s="9" t="s">
        <v>184</v>
      </c>
      <c r="E9" s="45">
        <f>E5</f>
        <v>415.99</v>
      </c>
      <c r="F9" s="41">
        <f>E9/(1+Inputs!$B$4)*(1-Inputs!$B$10)</f>
        <v>349.5714286</v>
      </c>
      <c r="G9" s="41">
        <f>F9</f>
        <v>349.5714286</v>
      </c>
      <c r="H9" s="41">
        <f t="shared" si="5"/>
        <v>0</v>
      </c>
      <c r="I9" s="41">
        <f t="shared" si="6"/>
        <v>0</v>
      </c>
      <c r="J9" s="41">
        <f>MAX(Inputs!$B$26,IF(F9&lt;=Inputs!$B$23,F9*Inputs!$B$24,Inputs!$B$23*Inputs!$B$24+(F9-Inputs!$B$23)*Inputs!$B$25))</f>
        <v>44.95714286</v>
      </c>
      <c r="K9" s="42">
        <f>'SKU-ASIN'!$D$4</f>
        <v>16.85</v>
      </c>
      <c r="L9" s="42">
        <f>'SKU-ASIN'!$E$4</f>
        <v>0</v>
      </c>
      <c r="M9" s="42">
        <f>F9*'SKU-ASIN'!$I$4</f>
        <v>52.43571429</v>
      </c>
      <c r="N9" s="41">
        <f>G9*Inputs!$B$9</f>
        <v>27.96571429</v>
      </c>
      <c r="O9" s="42">
        <f>'SKU-ASIN'!$H$4</f>
        <v>132.31</v>
      </c>
      <c r="P9" s="43">
        <f t="shared" si="2"/>
        <v>75.05285714</v>
      </c>
      <c r="Q9" s="44">
        <f t="shared" si="3"/>
        <v>0.2146996322</v>
      </c>
      <c r="R9" s="43">
        <f>IF(((K9+L9+O9)/(1/(1+Inputs!$B$4)-Inputs!$B$24-'SKU-ASIN'!$I$4-Inputs!$B$9/(1+Inputs!$B$4)))&lt;=Inputs!$B$23,((K9+L9+O9)/(1/(1+Inputs!$B$4)-Inputs!$B$24-'SKU-ASIN'!$I$4-Inputs!$B$9/(1+Inputs!$B$4))),((K9+L9+O9+Inputs!$B$23*(Inputs!$B$24-Inputs!$B$25))/(1/(1+Inputs!$B$4)-Inputs!$B$25-'SKU-ASIN'!$I$4-Inputs!$B$9/(1+Inputs!$B$4))))</f>
        <v>304.2576707</v>
      </c>
      <c r="S9" s="44">
        <f t="shared" si="4"/>
        <v>0.5672500729</v>
      </c>
    </row>
    <row r="10">
      <c r="A10" s="9" t="s">
        <v>11</v>
      </c>
      <c r="B10" s="39" t="str">
        <f>VLOOKUP(A10,'SKU-ASIN'!$A$4:$I$9,2,FALSE())</f>
        <v>B0D8PFB4VR</v>
      </c>
      <c r="C10" s="9" t="s">
        <v>189</v>
      </c>
      <c r="D10" s="9" t="s">
        <v>184</v>
      </c>
      <c r="E10" s="45">
        <f>E5</f>
        <v>415.99</v>
      </c>
      <c r="F10" s="41">
        <f>E10*(1-Inputs!$B$11)</f>
        <v>395.1905</v>
      </c>
      <c r="G10" s="41">
        <f>F10/(1+Inputs!$B$4)</f>
        <v>332.0928571</v>
      </c>
      <c r="H10" s="41">
        <f t="shared" si="5"/>
        <v>0</v>
      </c>
      <c r="I10" s="41">
        <f t="shared" si="6"/>
        <v>0</v>
      </c>
      <c r="J10" s="41">
        <f>MAX(Inputs!$B$26,IF(F10&lt;=Inputs!$B$23,F10*Inputs!$B$24,Inputs!$B$23*Inputs!$B$24+(F10-Inputs!$B$23)*Inputs!$B$25))</f>
        <v>49.51905</v>
      </c>
      <c r="K10" s="42">
        <f>'SKU-ASIN'!$D$4</f>
        <v>16.85</v>
      </c>
      <c r="L10" s="42">
        <f>'SKU-ASIN'!$E$4</f>
        <v>0</v>
      </c>
      <c r="M10" s="42">
        <f>F10*'SKU-ASIN'!$I$4</f>
        <v>59.278575</v>
      </c>
      <c r="N10" s="41">
        <f>G10*Inputs!$B$9</f>
        <v>26.56742857</v>
      </c>
      <c r="O10" s="42">
        <f>'SKU-ASIN'!$H$4</f>
        <v>132.31</v>
      </c>
      <c r="P10" s="43">
        <f t="shared" si="2"/>
        <v>47.56780357</v>
      </c>
      <c r="Q10" s="44">
        <f t="shared" si="3"/>
        <v>0.143236455</v>
      </c>
      <c r="R10" s="43">
        <f>IF(((K10+L10+O10)/(1/(1+Inputs!$B$4)-Inputs!$B$24-'SKU-ASIN'!$I$4-Inputs!$B$9/(1+Inputs!$B$4)))&lt;=Inputs!$B$23,((K10+L10+O10)/(1/(1+Inputs!$B$4)-Inputs!$B$24-'SKU-ASIN'!$I$4-Inputs!$B$9/(1+Inputs!$B$4))),((K10+L10+O10+Inputs!$B$23*(Inputs!$B$24-Inputs!$B$25))/(1/(1+Inputs!$B$4)-Inputs!$B$25-'SKU-ASIN'!$I$4-Inputs!$B$9/(1+Inputs!$B$4))))</f>
        <v>304.2576707</v>
      </c>
      <c r="S10" s="44">
        <f t="shared" si="4"/>
        <v>0.3595178261</v>
      </c>
    </row>
    <row r="11">
      <c r="A11" s="9" t="s">
        <v>11</v>
      </c>
      <c r="B11" s="39" t="str">
        <f>VLOOKUP(A11,'SKU-ASIN'!$A$4:$I$9,2,FALSE())</f>
        <v>B0D8PFB4VR</v>
      </c>
      <c r="C11" s="9" t="s">
        <v>190</v>
      </c>
      <c r="D11" s="9" t="s">
        <v>184</v>
      </c>
      <c r="E11" s="45">
        <f>E5</f>
        <v>415.99</v>
      </c>
      <c r="F11" s="41">
        <f>E11*(1-Inputs!$B$12)</f>
        <v>386.8707</v>
      </c>
      <c r="G11" s="41">
        <f>F11/(1+Inputs!$B$4)</f>
        <v>325.1014286</v>
      </c>
      <c r="H11" s="41">
        <f t="shared" si="5"/>
        <v>0</v>
      </c>
      <c r="I11" s="41">
        <f t="shared" si="6"/>
        <v>0</v>
      </c>
      <c r="J11" s="41">
        <f>MAX(Inputs!$B$26,IF(F11&lt;=Inputs!$B$23,F11*Inputs!$B$24,Inputs!$B$23*Inputs!$B$24+(F11-Inputs!$B$23)*Inputs!$B$25))</f>
        <v>48.68707</v>
      </c>
      <c r="K11" s="42">
        <f>'SKU-ASIN'!$D$4</f>
        <v>16.85</v>
      </c>
      <c r="L11" s="42">
        <f>'SKU-ASIN'!$E$4</f>
        <v>0</v>
      </c>
      <c r="M11" s="42">
        <f>F11*'SKU-ASIN'!$I$4</f>
        <v>58.030605</v>
      </c>
      <c r="N11" s="41">
        <f>G11*Inputs!$B$9</f>
        <v>26.00811429</v>
      </c>
      <c r="O11" s="42">
        <f>'SKU-ASIN'!$H$4</f>
        <v>132.31</v>
      </c>
      <c r="P11" s="43">
        <f t="shared" si="2"/>
        <v>43.21563929</v>
      </c>
      <c r="Q11" s="44">
        <f t="shared" si="3"/>
        <v>0.132929712</v>
      </c>
      <c r="R11" s="43">
        <f>IF(((K11+L11+O11)/(1/(1+Inputs!$B$4)-Inputs!$B$24-'SKU-ASIN'!$I$4-Inputs!$B$9/(1+Inputs!$B$4)))&lt;=Inputs!$B$23,((K11+L11+O11)/(1/(1+Inputs!$B$4)-Inputs!$B$24-'SKU-ASIN'!$I$4-Inputs!$B$9/(1+Inputs!$B$4))),((K11+L11+O11+Inputs!$B$23*(Inputs!$B$24-Inputs!$B$25))/(1/(1+Inputs!$B$4)-Inputs!$B$25-'SKU-ASIN'!$I$4-Inputs!$B$9/(1+Inputs!$B$4))))</f>
        <v>304.2576707</v>
      </c>
      <c r="S11" s="44">
        <f t="shared" si="4"/>
        <v>0.3266241349</v>
      </c>
    </row>
    <row r="12">
      <c r="A12" s="9" t="s">
        <v>11</v>
      </c>
      <c r="B12" s="39" t="str">
        <f>VLOOKUP(A12,'SKU-ASIN'!$A$4:$I$9,2,FALSE())</f>
        <v>B0D8PFB4VR</v>
      </c>
      <c r="C12" s="9" t="s">
        <v>191</v>
      </c>
      <c r="D12" s="9" t="s">
        <v>184</v>
      </c>
      <c r="E12" s="45">
        <f>E5</f>
        <v>415.99</v>
      </c>
      <c r="F12" s="41">
        <f>E12*(1-Inputs!$B$13)</f>
        <v>374.391</v>
      </c>
      <c r="G12" s="41">
        <f>F12/(1+Inputs!$B$4)</f>
        <v>314.6142857</v>
      </c>
      <c r="H12" s="41">
        <f t="shared" si="5"/>
        <v>0</v>
      </c>
      <c r="I12" s="41">
        <f t="shared" si="6"/>
        <v>0</v>
      </c>
      <c r="J12" s="41">
        <f>MAX(Inputs!$B$26,IF(F12&lt;=Inputs!$B$23,F12*Inputs!$B$24,Inputs!$B$23*Inputs!$B$24+(F12-Inputs!$B$23)*Inputs!$B$25))</f>
        <v>47.4391</v>
      </c>
      <c r="K12" s="42">
        <f>'SKU-ASIN'!$D$4</f>
        <v>16.85</v>
      </c>
      <c r="L12" s="42">
        <f>'SKU-ASIN'!$E$4</f>
        <v>0</v>
      </c>
      <c r="M12" s="42">
        <f>F12*'SKU-ASIN'!$I$4</f>
        <v>56.15865</v>
      </c>
      <c r="N12" s="41">
        <f>G12*Inputs!$B$9</f>
        <v>25.16914286</v>
      </c>
      <c r="O12" s="42">
        <f>'SKU-ASIN'!$H$4</f>
        <v>132.31</v>
      </c>
      <c r="P12" s="43">
        <f t="shared" si="2"/>
        <v>36.68739286</v>
      </c>
      <c r="Q12" s="44">
        <f t="shared" si="3"/>
        <v>0.1166107024</v>
      </c>
      <c r="R12" s="43">
        <f>IF(((K12+L12+O12)/(1/(1+Inputs!$B$4)-Inputs!$B$24-'SKU-ASIN'!$I$4-Inputs!$B$9/(1+Inputs!$B$4)))&lt;=Inputs!$B$23,((K12+L12+O12)/(1/(1+Inputs!$B$4)-Inputs!$B$24-'SKU-ASIN'!$I$4-Inputs!$B$9/(1+Inputs!$B$4))),((K12+L12+O12+Inputs!$B$23*(Inputs!$B$24-Inputs!$B$25))/(1/(1+Inputs!$B$4)-Inputs!$B$25-'SKU-ASIN'!$I$4-Inputs!$B$9/(1+Inputs!$B$4))))</f>
        <v>304.2576707</v>
      </c>
      <c r="S12" s="44">
        <f t="shared" si="4"/>
        <v>0.277283598</v>
      </c>
    </row>
    <row r="14">
      <c r="A14" s="9" t="s">
        <v>10</v>
      </c>
      <c r="B14" s="39" t="str">
        <f>VLOOKUP(A14,'SKU-ASIN'!$A$4:$I$9,2,FALSE())</f>
        <v>B0D8PGVY5V</v>
      </c>
      <c r="C14" s="9" t="s">
        <v>183</v>
      </c>
      <c r="D14" s="9" t="s">
        <v>184</v>
      </c>
      <c r="E14" s="40">
        <v>395.99</v>
      </c>
      <c r="F14" s="41">
        <f>E14</f>
        <v>395.99</v>
      </c>
      <c r="G14" s="41">
        <f>F14/(1+Inputs!$B$4)</f>
        <v>332.7647059</v>
      </c>
      <c r="H14" s="41">
        <f t="shared" ref="H14:I14" si="7">0</f>
        <v>0</v>
      </c>
      <c r="I14" s="41">
        <f t="shared" si="7"/>
        <v>0</v>
      </c>
      <c r="J14" s="41">
        <f>MAX(Inputs!$B$26,IF(F14&lt;=Inputs!$B$23,F14*Inputs!$B$24,Inputs!$B$23*Inputs!$B$24+(F14-Inputs!$B$23)*Inputs!$B$25))</f>
        <v>49.599</v>
      </c>
      <c r="K14" s="42">
        <f>'SKU-ASIN'!$D$5</f>
        <v>15.98</v>
      </c>
      <c r="L14" s="42">
        <f>'SKU-ASIN'!$E$5</f>
        <v>5.55</v>
      </c>
      <c r="M14" s="42">
        <f>F14*'SKU-ASIN'!$I$5</f>
        <v>59.3985</v>
      </c>
      <c r="N14" s="41">
        <f>G14*Inputs!$B$9</f>
        <v>26.62117647</v>
      </c>
      <c r="O14" s="42">
        <f>'SKU-ASIN'!$H$5</f>
        <v>118.99</v>
      </c>
      <c r="P14" s="43">
        <f t="shared" ref="P14:P21" si="8">G14-J14-K14-L14-M14-N14-I14-H14-O14</f>
        <v>56.62602941</v>
      </c>
      <c r="Q14" s="44">
        <f t="shared" ref="Q14:Q21" si="9">IFERROR(P14/G14,0)</f>
        <v>0.1701683755</v>
      </c>
      <c r="R14" s="43">
        <f>IF(((K14+L14+O14)/(1/(1+Inputs!$B$4)-Inputs!$B$24-'SKU-ASIN'!$I$5-Inputs!$B$9/(1+Inputs!$B$4)))&lt;=Inputs!$B$23,((K14+L14+O14)/(1/(1+Inputs!$B$4)-Inputs!$B$24-'SKU-ASIN'!$I$5-Inputs!$B$9/(1+Inputs!$B$4))),((K14+L14+O14+Inputs!$B$23*(Inputs!$B$24-Inputs!$B$25))/(1/(1+Inputs!$B$4)-Inputs!$B$25-'SKU-ASIN'!$I$5-Inputs!$B$9/(1+Inputs!$B$4))))</f>
        <v>287.7410442</v>
      </c>
      <c r="S14" s="44">
        <f t="shared" ref="S14:S21" si="10">IFERROR(P14/O14,0)</f>
        <v>0.4758889773</v>
      </c>
    </row>
    <row r="15">
      <c r="A15" s="9" t="s">
        <v>10</v>
      </c>
      <c r="B15" s="39" t="str">
        <f>VLOOKUP(A15,'SKU-ASIN'!$A$4:$I$9,2,FALSE())</f>
        <v>B0D8PGVY5V</v>
      </c>
      <c r="C15" s="9" t="s">
        <v>183</v>
      </c>
      <c r="D15" s="9" t="s">
        <v>185</v>
      </c>
      <c r="E15" s="45">
        <f>E14</f>
        <v>395.99</v>
      </c>
      <c r="F15" s="41">
        <f>E15*(1-Inputs!$B$14)</f>
        <v>356.391</v>
      </c>
      <c r="G15" s="41">
        <f>F15/(1+Inputs!$B$4)</f>
        <v>299.4882353</v>
      </c>
      <c r="H15" s="41">
        <f>F15*Inputs!$B$15</f>
        <v>8.909775</v>
      </c>
      <c r="I15" s="41">
        <f>0</f>
        <v>0</v>
      </c>
      <c r="J15" s="41">
        <f>MAX(Inputs!$B$26,IF(F15&lt;=Inputs!$B$23,F15*Inputs!$B$24,Inputs!$B$23*Inputs!$B$24+(F15-Inputs!$B$23)*Inputs!$B$25))</f>
        <v>45.6391</v>
      </c>
      <c r="K15" s="42">
        <f>'SKU-ASIN'!$D$5</f>
        <v>15.98</v>
      </c>
      <c r="L15" s="42">
        <f>'SKU-ASIN'!$E$5</f>
        <v>5.55</v>
      </c>
      <c r="M15" s="42">
        <f>F15*'SKU-ASIN'!$I$5</f>
        <v>53.45865</v>
      </c>
      <c r="N15" s="41">
        <f>G15*Inputs!$B$9</f>
        <v>23.95905882</v>
      </c>
      <c r="O15" s="42">
        <f>'SKU-ASIN'!$H$5</f>
        <v>118.99</v>
      </c>
      <c r="P15" s="43">
        <f t="shared" si="8"/>
        <v>27.00165147</v>
      </c>
      <c r="Q15" s="44">
        <f t="shared" si="9"/>
        <v>0.09015930607</v>
      </c>
      <c r="R15" s="43">
        <f>IF(((K15+L15+O15)/(1/(1+Inputs!$B$4)-Inputs!$B$24-'SKU-ASIN'!$I$5-Inputs!$B$9/(1+Inputs!$B$4)))&lt;=Inputs!$B$23,((K15+L15+O15)/(1/(1+Inputs!$B$4)-Inputs!$B$24-'SKU-ASIN'!$I$5-Inputs!$B$9/(1+Inputs!$B$4))),((K15+L15+O15+Inputs!$B$23*(Inputs!$B$24-Inputs!$B$25))/(1/(1+Inputs!$B$4)-Inputs!$B$25-'SKU-ASIN'!$I$5-Inputs!$B$9/(1+Inputs!$B$4))))</f>
        <v>287.7410442</v>
      </c>
      <c r="S15" s="44">
        <f t="shared" si="10"/>
        <v>0.2269237034</v>
      </c>
    </row>
    <row r="16">
      <c r="A16" s="9" t="s">
        <v>10</v>
      </c>
      <c r="B16" s="39" t="str">
        <f>VLOOKUP(A16,'SKU-ASIN'!$A$4:$I$9,2,FALSE())</f>
        <v>B0D8PGVY5V</v>
      </c>
      <c r="C16" s="9" t="s">
        <v>183</v>
      </c>
      <c r="D16" s="9" t="s">
        <v>186</v>
      </c>
      <c r="E16" s="45">
        <f>E14</f>
        <v>395.99</v>
      </c>
      <c r="F16" s="41">
        <f>E16*(1-Inputs!$B$17)</f>
        <v>336.5915</v>
      </c>
      <c r="G16" s="41">
        <f>F16/(1+Inputs!$B$4)</f>
        <v>282.85</v>
      </c>
      <c r="H16" s="41">
        <f t="shared" ref="H16:H21" si="11">0</f>
        <v>0</v>
      </c>
      <c r="I16" s="41">
        <f>F16*Inputs!$B$18</f>
        <v>5.0488725</v>
      </c>
      <c r="J16" s="41">
        <f>MAX(Inputs!$B$26,IF(F16&lt;=Inputs!$B$23,F16*Inputs!$B$24,Inputs!$B$23*Inputs!$B$24+(F16-Inputs!$B$23)*Inputs!$B$25))</f>
        <v>43.65915</v>
      </c>
      <c r="K16" s="42">
        <f>'SKU-ASIN'!$D$5</f>
        <v>15.98</v>
      </c>
      <c r="L16" s="42">
        <f>'SKU-ASIN'!$E$5</f>
        <v>5.55</v>
      </c>
      <c r="M16" s="42">
        <f>F16*'SKU-ASIN'!$I$5</f>
        <v>50.488725</v>
      </c>
      <c r="N16" s="41">
        <f>G16*Inputs!$B$9</f>
        <v>22.628</v>
      </c>
      <c r="O16" s="42">
        <f>'SKU-ASIN'!$H$5</f>
        <v>118.99</v>
      </c>
      <c r="P16" s="43">
        <f t="shared" si="8"/>
        <v>20.5052525</v>
      </c>
      <c r="Q16" s="44">
        <f t="shared" si="9"/>
        <v>0.0724951476</v>
      </c>
      <c r="R16" s="43">
        <f>IF(((K16+L16+O16)/(1/(1+Inputs!$B$4)-Inputs!$B$24-'SKU-ASIN'!$I$5-Inputs!$B$9/(1+Inputs!$B$4)))&lt;=Inputs!$B$23,((K16+L16+O16)/(1/(1+Inputs!$B$4)-Inputs!$B$24-'SKU-ASIN'!$I$5-Inputs!$B$9/(1+Inputs!$B$4))),((K16+L16+O16+Inputs!$B$23*(Inputs!$B$24-Inputs!$B$25))/(1/(1+Inputs!$B$4)-Inputs!$B$25-'SKU-ASIN'!$I$5-Inputs!$B$9/(1+Inputs!$B$4))))</f>
        <v>287.7410442</v>
      </c>
      <c r="S16" s="44">
        <f t="shared" si="10"/>
        <v>0.1723275275</v>
      </c>
    </row>
    <row r="17">
      <c r="A17" s="9" t="s">
        <v>10</v>
      </c>
      <c r="B17" s="39" t="str">
        <f>VLOOKUP(A17,'SKU-ASIN'!$A$4:$I$9,2,FALSE())</f>
        <v>B0D8PGVY5V</v>
      </c>
      <c r="C17" s="9" t="s">
        <v>183</v>
      </c>
      <c r="D17" s="9" t="s">
        <v>187</v>
      </c>
      <c r="E17" s="45">
        <f>E14</f>
        <v>395.99</v>
      </c>
      <c r="F17" s="41">
        <f>E17*(1-Inputs!$B$20)</f>
        <v>316.792</v>
      </c>
      <c r="G17" s="41">
        <f>F17/(1+Inputs!$B$4)</f>
        <v>266.2117647</v>
      </c>
      <c r="H17" s="41">
        <f t="shared" si="11"/>
        <v>0</v>
      </c>
      <c r="I17" s="41">
        <f t="shared" ref="I17:I21" si="12">0</f>
        <v>0</v>
      </c>
      <c r="J17" s="41">
        <f>MAX(Inputs!$B$26,IF(F17&lt;=Inputs!$B$23,F17*Inputs!$B$24,Inputs!$B$23*Inputs!$B$24+(F17-Inputs!$B$23)*Inputs!$B$25))</f>
        <v>41.6792</v>
      </c>
      <c r="K17" s="42">
        <f>'SKU-ASIN'!$D$5</f>
        <v>15.98</v>
      </c>
      <c r="L17" s="42">
        <f>'SKU-ASIN'!$E$5</f>
        <v>5.55</v>
      </c>
      <c r="M17" s="42">
        <f>F17*'SKU-ASIN'!$I$5</f>
        <v>47.5188</v>
      </c>
      <c r="N17" s="41">
        <f>G17*Inputs!$B$9</f>
        <v>21.29694118</v>
      </c>
      <c r="O17" s="42">
        <f>'SKU-ASIN'!$H$5</f>
        <v>118.99</v>
      </c>
      <c r="P17" s="43">
        <f t="shared" si="8"/>
        <v>15.19682353</v>
      </c>
      <c r="Q17" s="44">
        <f t="shared" si="9"/>
        <v>0.05708546933</v>
      </c>
      <c r="R17" s="43">
        <f>IF(((K17+L17+O17)/(1/(1+Inputs!$B$4)-Inputs!$B$24-'SKU-ASIN'!$I$5-Inputs!$B$9/(1+Inputs!$B$4)))&lt;=Inputs!$B$23,((K17+L17+O17)/(1/(1+Inputs!$B$4)-Inputs!$B$24-'SKU-ASIN'!$I$5-Inputs!$B$9/(1+Inputs!$B$4))),((K17+L17+O17+Inputs!$B$23*(Inputs!$B$24-Inputs!$B$25))/(1/(1+Inputs!$B$4)-Inputs!$B$25-'SKU-ASIN'!$I$5-Inputs!$B$9/(1+Inputs!$B$4))))</f>
        <v>287.7410442</v>
      </c>
      <c r="S17" s="44">
        <f t="shared" si="10"/>
        <v>0.1277151318</v>
      </c>
    </row>
    <row r="18">
      <c r="A18" s="9" t="s">
        <v>10</v>
      </c>
      <c r="B18" s="39" t="str">
        <f>VLOOKUP(A18,'SKU-ASIN'!$A$4:$I$9,2,FALSE())</f>
        <v>B0D8PGVY5V</v>
      </c>
      <c r="C18" s="9" t="s">
        <v>188</v>
      </c>
      <c r="D18" s="9" t="s">
        <v>184</v>
      </c>
      <c r="E18" s="45">
        <f>E14</f>
        <v>395.99</v>
      </c>
      <c r="F18" s="41">
        <f>E18/(1+Inputs!$B$4)*(1-Inputs!$B$10)</f>
        <v>332.7647059</v>
      </c>
      <c r="G18" s="41">
        <f>F18</f>
        <v>332.7647059</v>
      </c>
      <c r="H18" s="41">
        <f t="shared" si="11"/>
        <v>0</v>
      </c>
      <c r="I18" s="41">
        <f t="shared" si="12"/>
        <v>0</v>
      </c>
      <c r="J18" s="41">
        <f>MAX(Inputs!$B$26,IF(F18&lt;=Inputs!$B$23,F18*Inputs!$B$24,Inputs!$B$23*Inputs!$B$24+(F18-Inputs!$B$23)*Inputs!$B$25))</f>
        <v>43.27647059</v>
      </c>
      <c r="K18" s="42">
        <f>'SKU-ASIN'!$D$5</f>
        <v>15.98</v>
      </c>
      <c r="L18" s="42">
        <f>'SKU-ASIN'!$E$5</f>
        <v>5.55</v>
      </c>
      <c r="M18" s="42">
        <f>F18*'SKU-ASIN'!$I$5</f>
        <v>49.91470588</v>
      </c>
      <c r="N18" s="41">
        <f>G18*Inputs!$B$9</f>
        <v>26.62117647</v>
      </c>
      <c r="O18" s="42">
        <f>'SKU-ASIN'!$H$5</f>
        <v>118.99</v>
      </c>
      <c r="P18" s="43">
        <f t="shared" si="8"/>
        <v>72.43235294</v>
      </c>
      <c r="Q18" s="44">
        <f t="shared" si="9"/>
        <v>0.2176683755</v>
      </c>
      <c r="R18" s="43">
        <f>IF(((K18+L18+O18)/(1/(1+Inputs!$B$4)-Inputs!$B$24-'SKU-ASIN'!$I$5-Inputs!$B$9/(1+Inputs!$B$4)))&lt;=Inputs!$B$23,((K18+L18+O18)/(1/(1+Inputs!$B$4)-Inputs!$B$24-'SKU-ASIN'!$I$5-Inputs!$B$9/(1+Inputs!$B$4))),((K18+L18+O18+Inputs!$B$23*(Inputs!$B$24-Inputs!$B$25))/(1/(1+Inputs!$B$4)-Inputs!$B$25-'SKU-ASIN'!$I$5-Inputs!$B$9/(1+Inputs!$B$4))))</f>
        <v>287.7410442</v>
      </c>
      <c r="S18" s="44">
        <f t="shared" si="10"/>
        <v>0.6087263883</v>
      </c>
    </row>
    <row r="19">
      <c r="A19" s="9" t="s">
        <v>10</v>
      </c>
      <c r="B19" s="39" t="str">
        <f>VLOOKUP(A19,'SKU-ASIN'!$A$4:$I$9,2,FALSE())</f>
        <v>B0D8PGVY5V</v>
      </c>
      <c r="C19" s="9" t="s">
        <v>189</v>
      </c>
      <c r="D19" s="9" t="s">
        <v>184</v>
      </c>
      <c r="E19" s="45">
        <f>E14</f>
        <v>395.99</v>
      </c>
      <c r="F19" s="41">
        <f>E19*(1-Inputs!$B$11)</f>
        <v>376.1905</v>
      </c>
      <c r="G19" s="41">
        <f>F19/(1+Inputs!$B$4)</f>
        <v>316.1264706</v>
      </c>
      <c r="H19" s="41">
        <f t="shared" si="11"/>
        <v>0</v>
      </c>
      <c r="I19" s="41">
        <f t="shared" si="12"/>
        <v>0</v>
      </c>
      <c r="J19" s="41">
        <f>MAX(Inputs!$B$26,IF(F19&lt;=Inputs!$B$23,F19*Inputs!$B$24,Inputs!$B$23*Inputs!$B$24+(F19-Inputs!$B$23)*Inputs!$B$25))</f>
        <v>47.61905</v>
      </c>
      <c r="K19" s="42">
        <f>'SKU-ASIN'!$D$5</f>
        <v>15.98</v>
      </c>
      <c r="L19" s="42">
        <f>'SKU-ASIN'!$E$5</f>
        <v>5.55</v>
      </c>
      <c r="M19" s="42">
        <f>F19*'SKU-ASIN'!$I$5</f>
        <v>56.428575</v>
      </c>
      <c r="N19" s="41">
        <f>G19*Inputs!$B$9</f>
        <v>25.29011765</v>
      </c>
      <c r="O19" s="42">
        <f>'SKU-ASIN'!$H$5</f>
        <v>118.99</v>
      </c>
      <c r="P19" s="43">
        <f t="shared" si="8"/>
        <v>46.26872794</v>
      </c>
      <c r="Q19" s="44">
        <f t="shared" si="9"/>
        <v>0.1463614479</v>
      </c>
      <c r="R19" s="43">
        <f>IF(((K19+L19+O19)/(1/(1+Inputs!$B$4)-Inputs!$B$24-'SKU-ASIN'!$I$5-Inputs!$B$9/(1+Inputs!$B$4)))&lt;=Inputs!$B$23,((K19+L19+O19)/(1/(1+Inputs!$B$4)-Inputs!$B$24-'SKU-ASIN'!$I$5-Inputs!$B$9/(1+Inputs!$B$4))),((K19+L19+O19+Inputs!$B$23*(Inputs!$B$24-Inputs!$B$25))/(1/(1+Inputs!$B$4)-Inputs!$B$25-'SKU-ASIN'!$I$5-Inputs!$B$9/(1+Inputs!$B$4))))</f>
        <v>287.7410442</v>
      </c>
      <c r="S19" s="44">
        <f t="shared" si="10"/>
        <v>0.3888455159</v>
      </c>
    </row>
    <row r="20">
      <c r="A20" s="9" t="s">
        <v>10</v>
      </c>
      <c r="B20" s="39" t="str">
        <f>VLOOKUP(A20,'SKU-ASIN'!$A$4:$I$9,2,FALSE())</f>
        <v>B0D8PGVY5V</v>
      </c>
      <c r="C20" s="9" t="s">
        <v>190</v>
      </c>
      <c r="D20" s="9" t="s">
        <v>184</v>
      </c>
      <c r="E20" s="45">
        <f>E14</f>
        <v>395.99</v>
      </c>
      <c r="F20" s="41">
        <f>E20*(1-Inputs!$B$12)</f>
        <v>368.2707</v>
      </c>
      <c r="G20" s="41">
        <f>F20/(1+Inputs!$B$4)</f>
        <v>309.4711765</v>
      </c>
      <c r="H20" s="41">
        <f t="shared" si="11"/>
        <v>0</v>
      </c>
      <c r="I20" s="41">
        <f t="shared" si="12"/>
        <v>0</v>
      </c>
      <c r="J20" s="41">
        <f>MAX(Inputs!$B$26,IF(F20&lt;=Inputs!$B$23,F20*Inputs!$B$24,Inputs!$B$23*Inputs!$B$24+(F20-Inputs!$B$23)*Inputs!$B$25))</f>
        <v>46.82707</v>
      </c>
      <c r="K20" s="42">
        <f>'SKU-ASIN'!$D$5</f>
        <v>15.98</v>
      </c>
      <c r="L20" s="42">
        <f>'SKU-ASIN'!$E$5</f>
        <v>5.55</v>
      </c>
      <c r="M20" s="42">
        <f>F20*'SKU-ASIN'!$I$5</f>
        <v>55.240605</v>
      </c>
      <c r="N20" s="41">
        <f>G20*Inputs!$B$9</f>
        <v>24.75769412</v>
      </c>
      <c r="O20" s="42">
        <f>'SKU-ASIN'!$H$5</f>
        <v>118.99</v>
      </c>
      <c r="P20" s="43">
        <f t="shared" si="8"/>
        <v>42.12580735</v>
      </c>
      <c r="Q20" s="44">
        <f t="shared" si="9"/>
        <v>0.1361219091</v>
      </c>
      <c r="R20" s="43">
        <f>IF(((K20+L20+O20)/(1/(1+Inputs!$B$4)-Inputs!$B$24-'SKU-ASIN'!$I$5-Inputs!$B$9/(1+Inputs!$B$4)))&lt;=Inputs!$B$23,((K20+L20+O20)/(1/(1+Inputs!$B$4)-Inputs!$B$24-'SKU-ASIN'!$I$5-Inputs!$B$9/(1+Inputs!$B$4))),((K20+L20+O20+Inputs!$B$23*(Inputs!$B$24-Inputs!$B$25))/(1/(1+Inputs!$B$4)-Inputs!$B$25-'SKU-ASIN'!$I$5-Inputs!$B$9/(1+Inputs!$B$4))))</f>
        <v>287.7410442</v>
      </c>
      <c r="S20" s="44">
        <f t="shared" si="10"/>
        <v>0.3540281314</v>
      </c>
    </row>
    <row r="21">
      <c r="A21" s="9" t="s">
        <v>10</v>
      </c>
      <c r="B21" s="39" t="str">
        <f>VLOOKUP(A21,'SKU-ASIN'!$A$4:$I$9,2,FALSE())</f>
        <v>B0D8PGVY5V</v>
      </c>
      <c r="C21" s="9" t="s">
        <v>191</v>
      </c>
      <c r="D21" s="9" t="s">
        <v>184</v>
      </c>
      <c r="E21" s="45">
        <f>E14</f>
        <v>395.99</v>
      </c>
      <c r="F21" s="41">
        <f>E21*(1-Inputs!$B$13)</f>
        <v>356.391</v>
      </c>
      <c r="G21" s="41">
        <f>F21/(1+Inputs!$B$4)</f>
        <v>299.4882353</v>
      </c>
      <c r="H21" s="41">
        <f t="shared" si="11"/>
        <v>0</v>
      </c>
      <c r="I21" s="41">
        <f t="shared" si="12"/>
        <v>0</v>
      </c>
      <c r="J21" s="41">
        <f>MAX(Inputs!$B$26,IF(F21&lt;=Inputs!$B$23,F21*Inputs!$B$24,Inputs!$B$23*Inputs!$B$24+(F21-Inputs!$B$23)*Inputs!$B$25))</f>
        <v>45.6391</v>
      </c>
      <c r="K21" s="42">
        <f>'SKU-ASIN'!$D$5</f>
        <v>15.98</v>
      </c>
      <c r="L21" s="42">
        <f>'SKU-ASIN'!$E$5</f>
        <v>5.55</v>
      </c>
      <c r="M21" s="42">
        <f>F21*'SKU-ASIN'!$I$5</f>
        <v>53.45865</v>
      </c>
      <c r="N21" s="41">
        <f>G21*Inputs!$B$9</f>
        <v>23.95905882</v>
      </c>
      <c r="O21" s="42">
        <f>'SKU-ASIN'!$H$5</f>
        <v>118.99</v>
      </c>
      <c r="P21" s="43">
        <f t="shared" si="8"/>
        <v>35.91142647</v>
      </c>
      <c r="Q21" s="44">
        <f t="shared" si="9"/>
        <v>0.1199093061</v>
      </c>
      <c r="R21" s="43">
        <f>IF(((K21+L21+O21)/(1/(1+Inputs!$B$4)-Inputs!$B$24-'SKU-ASIN'!$I$5-Inputs!$B$9/(1+Inputs!$B$4)))&lt;=Inputs!$B$23,((K21+L21+O21)/(1/(1+Inputs!$B$4)-Inputs!$B$24-'SKU-ASIN'!$I$5-Inputs!$B$9/(1+Inputs!$B$4))),((K21+L21+O21+Inputs!$B$23*(Inputs!$B$24-Inputs!$B$25))/(1/(1+Inputs!$B$4)-Inputs!$B$25-'SKU-ASIN'!$I$5-Inputs!$B$9/(1+Inputs!$B$4))))</f>
        <v>287.7410442</v>
      </c>
      <c r="S21" s="44">
        <f t="shared" si="10"/>
        <v>0.3018020545</v>
      </c>
    </row>
    <row r="22"/>
    <row r="23">
      <c r="A23" s="9" t="s">
        <v>15</v>
      </c>
      <c r="B23" s="39" t="str">
        <f>VLOOKUP(A23,'SKU-ASIN'!$A$4:$I$9,2,FALSE())</f>
        <v>B0FPCHVY23</v>
      </c>
      <c r="C23" s="9" t="s">
        <v>183</v>
      </c>
      <c r="D23" s="9" t="s">
        <v>184</v>
      </c>
      <c r="E23" s="40">
        <v>305.99</v>
      </c>
      <c r="F23" s="41">
        <f>E23</f>
        <v>305.99</v>
      </c>
      <c r="G23" s="41">
        <f>F23/(1+Inputs!$B$4)</f>
        <v>257.1344538</v>
      </c>
      <c r="H23" s="41">
        <f t="shared" ref="H23:I23" si="13">0</f>
        <v>0</v>
      </c>
      <c r="I23" s="41">
        <f t="shared" si="13"/>
        <v>0</v>
      </c>
      <c r="J23" s="41">
        <f>MAX(Inputs!$B$26,IF(F23&lt;=Inputs!$B$23,F23*Inputs!$B$24,Inputs!$B$23*Inputs!$B$24+(F23-Inputs!$B$23)*Inputs!$B$25))</f>
        <v>40.599</v>
      </c>
      <c r="K23" s="42">
        <f>'SKU-ASIN'!$D$6</f>
        <v>30.02</v>
      </c>
      <c r="L23" s="42">
        <f>'SKU-ASIN'!$E$6</f>
        <v>4.24</v>
      </c>
      <c r="M23" s="42">
        <f>F23*'SKU-ASIN'!$I$6</f>
        <v>45.8985</v>
      </c>
      <c r="N23" s="41">
        <f>G23*Inputs!$B$9</f>
        <v>20.5707563</v>
      </c>
      <c r="O23" s="42">
        <f>'SKU-ASIN'!$H$6</f>
        <v>78.25</v>
      </c>
      <c r="P23" s="43">
        <f t="shared" ref="P23:P30" si="14">G23-J23-K23-L23-M23-N23-I23-H23-O23</f>
        <v>37.55619748</v>
      </c>
      <c r="Q23" s="44">
        <f t="shared" ref="Q23:Q30" si="15">IFERROR(P23/G23,0)</f>
        <v>0.1460566522</v>
      </c>
      <c r="R23" s="43">
        <f>IF(((K23+L23+O23)/(1/(1+Inputs!$B$4)-Inputs!$B$24-'SKU-ASIN'!$I$6-Inputs!$B$9/(1+Inputs!$B$4)))&lt;=Inputs!$B$23,((K23+L23+O23)/(1/(1+Inputs!$B$4)-Inputs!$B$24-'SKU-ASIN'!$I$6-Inputs!$B$9/(1+Inputs!$B$4))),((K23+L23+O23+Inputs!$B$23*(Inputs!$B$24-Inputs!$B$25))/(1/(1+Inputs!$B$4)-Inputs!$B$25-'SKU-ASIN'!$I$6-Inputs!$B$9/(1+Inputs!$B$4))))</f>
        <v>234.1958233</v>
      </c>
      <c r="S23" s="44">
        <f t="shared" ref="S23:S30" si="16">IFERROR(P23/O23,0)</f>
        <v>0.4799514055</v>
      </c>
    </row>
    <row r="24">
      <c r="A24" s="9" t="s">
        <v>15</v>
      </c>
      <c r="B24" s="39" t="str">
        <f>VLOOKUP(A24,'SKU-ASIN'!$A$4:$I$9,2,FALSE())</f>
        <v>B0FPCHVY23</v>
      </c>
      <c r="C24" s="9" t="s">
        <v>183</v>
      </c>
      <c r="D24" s="9" t="s">
        <v>185</v>
      </c>
      <c r="E24" s="45">
        <f>E23</f>
        <v>305.99</v>
      </c>
      <c r="F24" s="41">
        <f>E24*(1-Inputs!$B$14)</f>
        <v>275.391</v>
      </c>
      <c r="G24" s="41">
        <f>F24/(1+Inputs!$B$4)</f>
        <v>231.4210084</v>
      </c>
      <c r="H24" s="41">
        <f>F24*Inputs!$B$15</f>
        <v>6.884775</v>
      </c>
      <c r="I24" s="41">
        <f>0</f>
        <v>0</v>
      </c>
      <c r="J24" s="41">
        <f>MAX(Inputs!$B$26,IF(F24&lt;=Inputs!$B$23,F24*Inputs!$B$24,Inputs!$B$23*Inputs!$B$24+(F24-Inputs!$B$23)*Inputs!$B$25))</f>
        <v>37.5391</v>
      </c>
      <c r="K24" s="42">
        <f>'SKU-ASIN'!$D$6</f>
        <v>30.02</v>
      </c>
      <c r="L24" s="42">
        <f>'SKU-ASIN'!$E$6</f>
        <v>4.24</v>
      </c>
      <c r="M24" s="42">
        <f>F24*'SKU-ASIN'!$I$6</f>
        <v>41.30865</v>
      </c>
      <c r="N24" s="41">
        <f>G24*Inputs!$B$9</f>
        <v>18.51368067</v>
      </c>
      <c r="O24" s="42">
        <f>'SKU-ASIN'!$H$6</f>
        <v>78.25</v>
      </c>
      <c r="P24" s="43">
        <f t="shared" si="14"/>
        <v>14.66480273</v>
      </c>
      <c r="Q24" s="44">
        <f t="shared" si="15"/>
        <v>0.06336850242</v>
      </c>
      <c r="R24" s="43">
        <f>IF(((K24+L24+O24)/(1/(1+Inputs!$B$4)-Inputs!$B$24-'SKU-ASIN'!$I$6-Inputs!$B$9/(1+Inputs!$B$4)))&lt;=Inputs!$B$23,((K24+L24+O24)/(1/(1+Inputs!$B$4)-Inputs!$B$24-'SKU-ASIN'!$I$6-Inputs!$B$9/(1+Inputs!$B$4))),((K24+L24+O24+Inputs!$B$23*(Inputs!$B$24-Inputs!$B$25))/(1/(1+Inputs!$B$4)-Inputs!$B$25-'SKU-ASIN'!$I$6-Inputs!$B$9/(1+Inputs!$B$4))))</f>
        <v>234.1958233</v>
      </c>
      <c r="S24" s="44">
        <f t="shared" si="16"/>
        <v>0.1874096196</v>
      </c>
    </row>
    <row r="25">
      <c r="A25" s="9" t="s">
        <v>15</v>
      </c>
      <c r="B25" s="39" t="str">
        <f>VLOOKUP(A25,'SKU-ASIN'!$A$4:$I$9,2,FALSE())</f>
        <v>B0FPCHVY23</v>
      </c>
      <c r="C25" s="9" t="s">
        <v>183</v>
      </c>
      <c r="D25" s="9" t="s">
        <v>186</v>
      </c>
      <c r="E25" s="45">
        <f>E23</f>
        <v>305.99</v>
      </c>
      <c r="F25" s="41">
        <f>E25*(1-Inputs!$B$17)</f>
        <v>260.0915</v>
      </c>
      <c r="G25" s="41">
        <f>F25/(1+Inputs!$B$4)</f>
        <v>218.5642857</v>
      </c>
      <c r="H25" s="41">
        <f t="shared" ref="H25:H30" si="17">0</f>
        <v>0</v>
      </c>
      <c r="I25" s="41">
        <f>F25*Inputs!$B$18</f>
        <v>3.9013725</v>
      </c>
      <c r="J25" s="41">
        <f>MAX(Inputs!$B$26,IF(F25&lt;=Inputs!$B$23,F25*Inputs!$B$24,Inputs!$B$23*Inputs!$B$24+(F25-Inputs!$B$23)*Inputs!$B$25))</f>
        <v>36.00915</v>
      </c>
      <c r="K25" s="42">
        <f>'SKU-ASIN'!$D$6</f>
        <v>30.02</v>
      </c>
      <c r="L25" s="42">
        <f>'SKU-ASIN'!$E$6</f>
        <v>4.24</v>
      </c>
      <c r="M25" s="42">
        <f>F25*'SKU-ASIN'!$I$6</f>
        <v>39.013725</v>
      </c>
      <c r="N25" s="41">
        <f>G25*Inputs!$B$9</f>
        <v>17.48514286</v>
      </c>
      <c r="O25" s="42">
        <f>'SKU-ASIN'!$H$6</f>
        <v>78.25</v>
      </c>
      <c r="P25" s="43">
        <f t="shared" si="14"/>
        <v>9.644895357</v>
      </c>
      <c r="Q25" s="44">
        <f t="shared" si="15"/>
        <v>0.04412841433</v>
      </c>
      <c r="R25" s="43">
        <f>IF(((K25+L25+O25)/(1/(1+Inputs!$B$4)-Inputs!$B$24-'SKU-ASIN'!$I$6-Inputs!$B$9/(1+Inputs!$B$4)))&lt;=Inputs!$B$23,((K25+L25+O25)/(1/(1+Inputs!$B$4)-Inputs!$B$24-'SKU-ASIN'!$I$6-Inputs!$B$9/(1+Inputs!$B$4))),((K25+L25+O25+Inputs!$B$23*(Inputs!$B$24-Inputs!$B$25))/(1/(1+Inputs!$B$4)-Inputs!$B$25-'SKU-ASIN'!$I$6-Inputs!$B$9/(1+Inputs!$B$4))))</f>
        <v>234.1958233</v>
      </c>
      <c r="S25" s="44">
        <f t="shared" si="16"/>
        <v>0.1232574487</v>
      </c>
    </row>
    <row r="26">
      <c r="A26" s="9" t="s">
        <v>15</v>
      </c>
      <c r="B26" s="39" t="str">
        <f>VLOOKUP(A26,'SKU-ASIN'!$A$4:$I$9,2,FALSE())</f>
        <v>B0FPCHVY23</v>
      </c>
      <c r="C26" s="9" t="s">
        <v>183</v>
      </c>
      <c r="D26" s="9" t="s">
        <v>187</v>
      </c>
      <c r="E26" s="45">
        <f>E23</f>
        <v>305.99</v>
      </c>
      <c r="F26" s="41">
        <f>E26*(1-Inputs!$B$20)</f>
        <v>244.792</v>
      </c>
      <c r="G26" s="41">
        <f>F26/(1+Inputs!$B$4)</f>
        <v>205.707563</v>
      </c>
      <c r="H26" s="41">
        <f t="shared" si="17"/>
        <v>0</v>
      </c>
      <c r="I26" s="41">
        <f t="shared" ref="I26:I30" si="18">0</f>
        <v>0</v>
      </c>
      <c r="J26" s="41">
        <f>MAX(Inputs!$B$26,IF(F26&lt;=Inputs!$B$23,F26*Inputs!$B$24,Inputs!$B$23*Inputs!$B$24+(F26-Inputs!$B$23)*Inputs!$B$25))</f>
        <v>34.4792</v>
      </c>
      <c r="K26" s="42">
        <f>'SKU-ASIN'!$D$6</f>
        <v>30.02</v>
      </c>
      <c r="L26" s="42">
        <f>'SKU-ASIN'!$E$6</f>
        <v>4.24</v>
      </c>
      <c r="M26" s="42">
        <f>F26*'SKU-ASIN'!$I$6</f>
        <v>36.7188</v>
      </c>
      <c r="N26" s="41">
        <f>G26*Inputs!$B$9</f>
        <v>16.45660504</v>
      </c>
      <c r="O26" s="42">
        <f>'SKU-ASIN'!$H$6</f>
        <v>78.25</v>
      </c>
      <c r="P26" s="43">
        <f t="shared" si="14"/>
        <v>5.542957983</v>
      </c>
      <c r="Q26" s="44">
        <f t="shared" si="15"/>
        <v>0.02694581522</v>
      </c>
      <c r="R26" s="43">
        <f>IF(((K26+L26+O26)/(1/(1+Inputs!$B$4)-Inputs!$B$24-'SKU-ASIN'!$I$6-Inputs!$B$9/(1+Inputs!$B$4)))&lt;=Inputs!$B$23,((K26+L26+O26)/(1/(1+Inputs!$B$4)-Inputs!$B$24-'SKU-ASIN'!$I$6-Inputs!$B$9/(1+Inputs!$B$4))),((K26+L26+O26+Inputs!$B$23*(Inputs!$B$24-Inputs!$B$25))/(1/(1+Inputs!$B$4)-Inputs!$B$25-'SKU-ASIN'!$I$6-Inputs!$B$9/(1+Inputs!$B$4))))</f>
        <v>234.1958233</v>
      </c>
      <c r="S26" s="44">
        <f t="shared" si="16"/>
        <v>0.07083652375</v>
      </c>
    </row>
    <row r="27">
      <c r="A27" s="9" t="s">
        <v>15</v>
      </c>
      <c r="B27" s="39" t="str">
        <f>VLOOKUP(A27,'SKU-ASIN'!$A$4:$I$9,2,FALSE())</f>
        <v>B0FPCHVY23</v>
      </c>
      <c r="C27" s="9" t="s">
        <v>188</v>
      </c>
      <c r="D27" s="9" t="s">
        <v>184</v>
      </c>
      <c r="E27" s="45">
        <f>E23</f>
        <v>305.99</v>
      </c>
      <c r="F27" s="41">
        <f>E27/(1+Inputs!$B$4)*(1-Inputs!$B$10)</f>
        <v>257.1344538</v>
      </c>
      <c r="G27" s="41">
        <f>F27</f>
        <v>257.1344538</v>
      </c>
      <c r="H27" s="41">
        <f t="shared" si="17"/>
        <v>0</v>
      </c>
      <c r="I27" s="41">
        <f t="shared" si="18"/>
        <v>0</v>
      </c>
      <c r="J27" s="41">
        <f>MAX(Inputs!$B$26,IF(F27&lt;=Inputs!$B$23,F27*Inputs!$B$24,Inputs!$B$23*Inputs!$B$24+(F27-Inputs!$B$23)*Inputs!$B$25))</f>
        <v>35.71344538</v>
      </c>
      <c r="K27" s="42">
        <f>'SKU-ASIN'!$D$6</f>
        <v>30.02</v>
      </c>
      <c r="L27" s="42">
        <f>'SKU-ASIN'!$E$6</f>
        <v>4.24</v>
      </c>
      <c r="M27" s="42">
        <f>F27*'SKU-ASIN'!$I$6</f>
        <v>38.57016807</v>
      </c>
      <c r="N27" s="41">
        <f>G27*Inputs!$B$9</f>
        <v>20.5707563</v>
      </c>
      <c r="O27" s="42">
        <f>'SKU-ASIN'!$H$6</f>
        <v>78.25</v>
      </c>
      <c r="P27" s="43">
        <f t="shared" si="14"/>
        <v>49.77008403</v>
      </c>
      <c r="Q27" s="44">
        <f t="shared" si="15"/>
        <v>0.1935566522</v>
      </c>
      <c r="R27" s="43">
        <f>IF(((K27+L27+O27)/(1/(1+Inputs!$B$4)-Inputs!$B$24-'SKU-ASIN'!$I$6-Inputs!$B$9/(1+Inputs!$B$4)))&lt;=Inputs!$B$23,((K27+L27+O27)/(1/(1+Inputs!$B$4)-Inputs!$B$24-'SKU-ASIN'!$I$6-Inputs!$B$9/(1+Inputs!$B$4))),((K27+L27+O27+Inputs!$B$23*(Inputs!$B$24-Inputs!$B$25))/(1/(1+Inputs!$B$4)-Inputs!$B$25-'SKU-ASIN'!$I$6-Inputs!$B$9/(1+Inputs!$B$4))))</f>
        <v>234.1958233</v>
      </c>
      <c r="S27" s="44">
        <f t="shared" si="16"/>
        <v>0.6360394126</v>
      </c>
    </row>
    <row r="28">
      <c r="A28" s="9" t="s">
        <v>15</v>
      </c>
      <c r="B28" s="39" t="str">
        <f>VLOOKUP(A28,'SKU-ASIN'!$A$4:$I$9,2,FALSE())</f>
        <v>B0FPCHVY23</v>
      </c>
      <c r="C28" s="9" t="s">
        <v>189</v>
      </c>
      <c r="D28" s="9" t="s">
        <v>184</v>
      </c>
      <c r="E28" s="45">
        <f>E23</f>
        <v>305.99</v>
      </c>
      <c r="F28" s="41">
        <f>E28*(1-Inputs!$B$11)</f>
        <v>290.6905</v>
      </c>
      <c r="G28" s="41">
        <f>F28/(1+Inputs!$B$4)</f>
        <v>244.2777311</v>
      </c>
      <c r="H28" s="41">
        <f t="shared" si="17"/>
        <v>0</v>
      </c>
      <c r="I28" s="41">
        <f t="shared" si="18"/>
        <v>0</v>
      </c>
      <c r="J28" s="41">
        <f>MAX(Inputs!$B$26,IF(F28&lt;=Inputs!$B$23,F28*Inputs!$B$24,Inputs!$B$23*Inputs!$B$24+(F28-Inputs!$B$23)*Inputs!$B$25))</f>
        <v>39.06905</v>
      </c>
      <c r="K28" s="42">
        <f>'SKU-ASIN'!$D$6</f>
        <v>30.02</v>
      </c>
      <c r="L28" s="42">
        <f>'SKU-ASIN'!$E$6</f>
        <v>4.24</v>
      </c>
      <c r="M28" s="42">
        <f>F28*'SKU-ASIN'!$I$6</f>
        <v>43.603575</v>
      </c>
      <c r="N28" s="41">
        <f>G28*Inputs!$B$9</f>
        <v>19.54221849</v>
      </c>
      <c r="O28" s="42">
        <f>'SKU-ASIN'!$H$6</f>
        <v>78.25</v>
      </c>
      <c r="P28" s="43">
        <f t="shared" si="14"/>
        <v>29.55288761</v>
      </c>
      <c r="Q28" s="44">
        <f t="shared" si="15"/>
        <v>0.1209806865</v>
      </c>
      <c r="R28" s="43">
        <f>IF(((K28+L28+O28)/(1/(1+Inputs!$B$4)-Inputs!$B$24-'SKU-ASIN'!$I$6-Inputs!$B$9/(1+Inputs!$B$4)))&lt;=Inputs!$B$23,((K28+L28+O28)/(1/(1+Inputs!$B$4)-Inputs!$B$24-'SKU-ASIN'!$I$6-Inputs!$B$9/(1+Inputs!$B$4))),((K28+L28+O28+Inputs!$B$23*(Inputs!$B$24-Inputs!$B$25))/(1/(1+Inputs!$B$4)-Inputs!$B$25-'SKU-ASIN'!$I$6-Inputs!$B$9/(1+Inputs!$B$4))))</f>
        <v>234.1958233</v>
      </c>
      <c r="S28" s="44">
        <f t="shared" si="16"/>
        <v>0.377672685</v>
      </c>
    </row>
    <row r="29">
      <c r="A29" s="9" t="s">
        <v>15</v>
      </c>
      <c r="B29" s="39" t="str">
        <f>VLOOKUP(A29,'SKU-ASIN'!$A$4:$I$9,2,FALSE())</f>
        <v>B0FPCHVY23</v>
      </c>
      <c r="C29" s="9" t="s">
        <v>190</v>
      </c>
      <c r="D29" s="9" t="s">
        <v>184</v>
      </c>
      <c r="E29" s="45">
        <f>E23</f>
        <v>305.99</v>
      </c>
      <c r="F29" s="41">
        <f>E29*(1-Inputs!$B$12)</f>
        <v>284.5707</v>
      </c>
      <c r="G29" s="41">
        <f>F29/(1+Inputs!$B$4)</f>
        <v>239.135042</v>
      </c>
      <c r="H29" s="41">
        <f t="shared" si="17"/>
        <v>0</v>
      </c>
      <c r="I29" s="41">
        <f t="shared" si="18"/>
        <v>0</v>
      </c>
      <c r="J29" s="41">
        <f>MAX(Inputs!$B$26,IF(F29&lt;=Inputs!$B$23,F29*Inputs!$B$24,Inputs!$B$23*Inputs!$B$24+(F29-Inputs!$B$23)*Inputs!$B$25))</f>
        <v>38.45707</v>
      </c>
      <c r="K29" s="42">
        <f>'SKU-ASIN'!$D$6</f>
        <v>30.02</v>
      </c>
      <c r="L29" s="42">
        <f>'SKU-ASIN'!$E$6</f>
        <v>4.24</v>
      </c>
      <c r="M29" s="42">
        <f>F29*'SKU-ASIN'!$I$6</f>
        <v>42.685605</v>
      </c>
      <c r="N29" s="41">
        <f>G29*Inputs!$B$9</f>
        <v>19.13080336</v>
      </c>
      <c r="O29" s="42">
        <f>'SKU-ASIN'!$H$6</f>
        <v>78.25</v>
      </c>
      <c r="P29" s="43">
        <f t="shared" si="14"/>
        <v>26.35156366</v>
      </c>
      <c r="Q29" s="44">
        <f t="shared" si="15"/>
        <v>0.1101953249</v>
      </c>
      <c r="R29" s="43">
        <f>IF(((K29+L29+O29)/(1/(1+Inputs!$B$4)-Inputs!$B$24-'SKU-ASIN'!$I$6-Inputs!$B$9/(1+Inputs!$B$4)))&lt;=Inputs!$B$23,((K29+L29+O29)/(1/(1+Inputs!$B$4)-Inputs!$B$24-'SKU-ASIN'!$I$6-Inputs!$B$9/(1+Inputs!$B$4))),((K29+L29+O29+Inputs!$B$23*(Inputs!$B$24-Inputs!$B$25))/(1/(1+Inputs!$B$4)-Inputs!$B$25-'SKU-ASIN'!$I$6-Inputs!$B$9/(1+Inputs!$B$4))))</f>
        <v>234.1958233</v>
      </c>
      <c r="S29" s="44">
        <f t="shared" si="16"/>
        <v>0.3367611969</v>
      </c>
    </row>
    <row r="30">
      <c r="A30" s="9" t="s">
        <v>15</v>
      </c>
      <c r="B30" s="39" t="str">
        <f>VLOOKUP(A30,'SKU-ASIN'!$A$4:$I$9,2,FALSE())</f>
        <v>B0FPCHVY23</v>
      </c>
      <c r="C30" s="9" t="s">
        <v>191</v>
      </c>
      <c r="D30" s="9" t="s">
        <v>184</v>
      </c>
      <c r="E30" s="45">
        <f>E23</f>
        <v>305.99</v>
      </c>
      <c r="F30" s="41">
        <f>E30*(1-Inputs!$B$13)</f>
        <v>275.391</v>
      </c>
      <c r="G30" s="41">
        <f>F30/(1+Inputs!$B$4)</f>
        <v>231.4210084</v>
      </c>
      <c r="H30" s="41">
        <f t="shared" si="17"/>
        <v>0</v>
      </c>
      <c r="I30" s="41">
        <f t="shared" si="18"/>
        <v>0</v>
      </c>
      <c r="J30" s="41">
        <f>MAX(Inputs!$B$26,IF(F30&lt;=Inputs!$B$23,F30*Inputs!$B$24,Inputs!$B$23*Inputs!$B$24+(F30-Inputs!$B$23)*Inputs!$B$25))</f>
        <v>37.5391</v>
      </c>
      <c r="K30" s="42">
        <f>'SKU-ASIN'!$D$6</f>
        <v>30.02</v>
      </c>
      <c r="L30" s="42">
        <f>'SKU-ASIN'!$E$6</f>
        <v>4.24</v>
      </c>
      <c r="M30" s="42">
        <f>F30*'SKU-ASIN'!$I$6</f>
        <v>41.30865</v>
      </c>
      <c r="N30" s="41">
        <f>G30*Inputs!$B$9</f>
        <v>18.51368067</v>
      </c>
      <c r="O30" s="42">
        <f>'SKU-ASIN'!$H$6</f>
        <v>78.25</v>
      </c>
      <c r="P30" s="43">
        <f t="shared" si="14"/>
        <v>21.54957773</v>
      </c>
      <c r="Q30" s="44">
        <f t="shared" si="15"/>
        <v>0.09311850242</v>
      </c>
      <c r="R30" s="43">
        <f>IF(((K30+L30+O30)/(1/(1+Inputs!$B$4)-Inputs!$B$24-'SKU-ASIN'!$I$6-Inputs!$B$9/(1+Inputs!$B$4)))&lt;=Inputs!$B$23,((K30+L30+O30)/(1/(1+Inputs!$B$4)-Inputs!$B$24-'SKU-ASIN'!$I$6-Inputs!$B$9/(1+Inputs!$B$4))),((K30+L30+O30+Inputs!$B$23*(Inputs!$B$24-Inputs!$B$25))/(1/(1+Inputs!$B$4)-Inputs!$B$25-'SKU-ASIN'!$I$6-Inputs!$B$9/(1+Inputs!$B$4))))</f>
        <v>234.1958233</v>
      </c>
      <c r="S30" s="44">
        <f t="shared" si="16"/>
        <v>0.2753939646</v>
      </c>
    </row>
    <row r="31"/>
    <row r="32">
      <c r="A32" s="9" t="s">
        <v>14</v>
      </c>
      <c r="B32" s="39" t="str">
        <f>VLOOKUP(A32,'SKU-ASIN'!$A$4:$I$9,2,FALSE())</f>
        <v>B0FPCK6XPN</v>
      </c>
      <c r="C32" s="9" t="s">
        <v>183</v>
      </c>
      <c r="D32" s="9" t="s">
        <v>184</v>
      </c>
      <c r="E32" s="40">
        <v>285.99</v>
      </c>
      <c r="F32" s="41">
        <f>E32</f>
        <v>285.99</v>
      </c>
      <c r="G32" s="41">
        <f>F32/(1+Inputs!$B$4)</f>
        <v>240.3277311</v>
      </c>
      <c r="H32" s="41">
        <f t="shared" ref="H32:I32" si="19">0</f>
        <v>0</v>
      </c>
      <c r="I32" s="41">
        <f t="shared" si="19"/>
        <v>0</v>
      </c>
      <c r="J32" s="41">
        <f>MAX(Inputs!$B$26,IF(F32&lt;=Inputs!$B$23,F32*Inputs!$B$24,Inputs!$B$23*Inputs!$B$24+(F32-Inputs!$B$23)*Inputs!$B$25))</f>
        <v>38.599</v>
      </c>
      <c r="K32" s="42">
        <f>'SKU-ASIN'!$D$7</f>
        <v>30.02</v>
      </c>
      <c r="L32" s="42">
        <f>'SKU-ASIN'!$E$7</f>
        <v>4.24</v>
      </c>
      <c r="M32" s="42">
        <f>F32*'SKU-ASIN'!$I$7</f>
        <v>42.8985</v>
      </c>
      <c r="N32" s="41">
        <f>G32*Inputs!$B$9</f>
        <v>19.22621849</v>
      </c>
      <c r="O32" s="42">
        <f>'SKU-ASIN'!$H$7</f>
        <v>71.6</v>
      </c>
      <c r="P32" s="43">
        <f t="shared" ref="P32:P39" si="20">G32-J32-K32-L32-M32-N32-I32-H32-O32</f>
        <v>33.74401261</v>
      </c>
      <c r="Q32" s="44">
        <f t="shared" ref="Q32:Q39" si="21">IFERROR(P32/G32,0)</f>
        <v>0.1404083185</v>
      </c>
      <c r="R32" s="43">
        <f>IF(((K32+L32+O32)/(1/(1+Inputs!$B$4)-Inputs!$B$24-'SKU-ASIN'!$I$7-Inputs!$B$9/(1+Inputs!$B$4)))&lt;=Inputs!$B$23,((K32+L32+O32)/(1/(1+Inputs!$B$4)-Inputs!$B$24-'SKU-ASIN'!$I$7-Inputs!$B$9/(1+Inputs!$B$4))),((K32+L32+O32+Inputs!$B$23*(Inputs!$B$24-Inputs!$B$25))/(1/(1+Inputs!$B$4)-Inputs!$B$25-'SKU-ASIN'!$I$7-Inputs!$B$9/(1+Inputs!$B$4))))</f>
        <v>221.4833735</v>
      </c>
      <c r="S32" s="44">
        <f t="shared" ref="S32:S39" si="22">IFERROR(P32/O32,0)</f>
        <v>0.4712850922</v>
      </c>
    </row>
    <row r="33">
      <c r="A33" s="9" t="s">
        <v>14</v>
      </c>
      <c r="B33" s="39" t="str">
        <f>VLOOKUP(A33,'SKU-ASIN'!$A$4:$I$9,2,FALSE())</f>
        <v>B0FPCK6XPN</v>
      </c>
      <c r="C33" s="9" t="s">
        <v>183</v>
      </c>
      <c r="D33" s="9" t="s">
        <v>185</v>
      </c>
      <c r="E33" s="45">
        <f>E32</f>
        <v>285.99</v>
      </c>
      <c r="F33" s="41">
        <f>E33*(1-Inputs!$B$14)</f>
        <v>257.391</v>
      </c>
      <c r="G33" s="41">
        <f>F33/(1+Inputs!$B$4)</f>
        <v>216.294958</v>
      </c>
      <c r="H33" s="41">
        <f>F33*Inputs!$B$15</f>
        <v>6.434775</v>
      </c>
      <c r="I33" s="41">
        <f>0</f>
        <v>0</v>
      </c>
      <c r="J33" s="41">
        <f>MAX(Inputs!$B$26,IF(F33&lt;=Inputs!$B$23,F33*Inputs!$B$24,Inputs!$B$23*Inputs!$B$24+(F33-Inputs!$B$23)*Inputs!$B$25))</f>
        <v>35.7391</v>
      </c>
      <c r="K33" s="42">
        <f>'SKU-ASIN'!$D$7</f>
        <v>30.02</v>
      </c>
      <c r="L33" s="42">
        <f>'SKU-ASIN'!$E$7</f>
        <v>4.24</v>
      </c>
      <c r="M33" s="42">
        <f>F33*'SKU-ASIN'!$I$7</f>
        <v>38.60865</v>
      </c>
      <c r="N33" s="41">
        <f>G33*Inputs!$B$9</f>
        <v>17.30359664</v>
      </c>
      <c r="O33" s="42">
        <f>'SKU-ASIN'!$H$7</f>
        <v>71.6</v>
      </c>
      <c r="P33" s="43">
        <f t="shared" si="20"/>
        <v>12.34883634</v>
      </c>
      <c r="Q33" s="44">
        <f t="shared" si="21"/>
        <v>0.05709257608</v>
      </c>
      <c r="R33" s="43">
        <f>IF(((K33+L33+O33)/(1/(1+Inputs!$B$4)-Inputs!$B$24-'SKU-ASIN'!$I$7-Inputs!$B$9/(1+Inputs!$B$4)))&lt;=Inputs!$B$23,((K33+L33+O33)/(1/(1+Inputs!$B$4)-Inputs!$B$24-'SKU-ASIN'!$I$7-Inputs!$B$9/(1+Inputs!$B$4))),((K33+L33+O33+Inputs!$B$23*(Inputs!$B$24-Inputs!$B$25))/(1/(1+Inputs!$B$4)-Inputs!$B$25-'SKU-ASIN'!$I$7-Inputs!$B$9/(1+Inputs!$B$4))))</f>
        <v>221.4833735</v>
      </c>
      <c r="S33" s="44">
        <f t="shared" si="22"/>
        <v>0.1724697813</v>
      </c>
    </row>
    <row r="34">
      <c r="A34" s="9" t="s">
        <v>14</v>
      </c>
      <c r="B34" s="39" t="str">
        <f>VLOOKUP(A34,'SKU-ASIN'!$A$4:$I$9,2,FALSE())</f>
        <v>B0FPCK6XPN</v>
      </c>
      <c r="C34" s="9" t="s">
        <v>183</v>
      </c>
      <c r="D34" s="9" t="s">
        <v>186</v>
      </c>
      <c r="E34" s="45">
        <f>E32</f>
        <v>285.99</v>
      </c>
      <c r="F34" s="41">
        <f>E34*(1-Inputs!$B$17)</f>
        <v>243.0915</v>
      </c>
      <c r="G34" s="41">
        <f>F34/(1+Inputs!$B$4)</f>
        <v>204.2785714</v>
      </c>
      <c r="H34" s="41">
        <f t="shared" ref="H34:H39" si="23">0</f>
        <v>0</v>
      </c>
      <c r="I34" s="41">
        <f>F34*Inputs!$B$18</f>
        <v>3.6463725</v>
      </c>
      <c r="J34" s="41">
        <f>MAX(Inputs!$B$26,IF(F34&lt;=Inputs!$B$23,F34*Inputs!$B$24,Inputs!$B$23*Inputs!$B$24+(F34-Inputs!$B$23)*Inputs!$B$25))</f>
        <v>34.30915</v>
      </c>
      <c r="K34" s="42">
        <f>'SKU-ASIN'!$D$7</f>
        <v>30.02</v>
      </c>
      <c r="L34" s="42">
        <f>'SKU-ASIN'!$E$7</f>
        <v>4.24</v>
      </c>
      <c r="M34" s="42">
        <f>F34*'SKU-ASIN'!$I$7</f>
        <v>36.463725</v>
      </c>
      <c r="N34" s="41">
        <f>G34*Inputs!$B$9</f>
        <v>16.34228571</v>
      </c>
      <c r="O34" s="42">
        <f>'SKU-ASIN'!$H$7</f>
        <v>71.6</v>
      </c>
      <c r="P34" s="43">
        <f t="shared" si="20"/>
        <v>7.657038214</v>
      </c>
      <c r="Q34" s="44">
        <f t="shared" si="21"/>
        <v>0.03748331585</v>
      </c>
      <c r="R34" s="43">
        <f>IF(((K34+L34+O34)/(1/(1+Inputs!$B$4)-Inputs!$B$24-'SKU-ASIN'!$I$7-Inputs!$B$9/(1+Inputs!$B$4)))&lt;=Inputs!$B$23,((K34+L34+O34)/(1/(1+Inputs!$B$4)-Inputs!$B$24-'SKU-ASIN'!$I$7-Inputs!$B$9/(1+Inputs!$B$4))),((K34+L34+O34+Inputs!$B$23*(Inputs!$B$24-Inputs!$B$25))/(1/(1+Inputs!$B$4)-Inputs!$B$25-'SKU-ASIN'!$I$7-Inputs!$B$9/(1+Inputs!$B$4))))</f>
        <v>221.4833735</v>
      </c>
      <c r="S34" s="44">
        <f t="shared" si="22"/>
        <v>0.1069418745</v>
      </c>
    </row>
    <row r="35">
      <c r="A35" s="9" t="s">
        <v>14</v>
      </c>
      <c r="B35" s="39" t="str">
        <f>VLOOKUP(A35,'SKU-ASIN'!$A$4:$I$9,2,FALSE())</f>
        <v>B0FPCK6XPN</v>
      </c>
      <c r="C35" s="9" t="s">
        <v>183</v>
      </c>
      <c r="D35" s="9" t="s">
        <v>187</v>
      </c>
      <c r="E35" s="45">
        <f>E32</f>
        <v>285.99</v>
      </c>
      <c r="F35" s="41">
        <f>E35*(1-Inputs!$B$20)</f>
        <v>228.792</v>
      </c>
      <c r="G35" s="41">
        <f>F35/(1+Inputs!$B$4)</f>
        <v>192.2621849</v>
      </c>
      <c r="H35" s="41">
        <f t="shared" si="23"/>
        <v>0</v>
      </c>
      <c r="I35" s="41">
        <f t="shared" ref="I35:I39" si="24">0</f>
        <v>0</v>
      </c>
      <c r="J35" s="41">
        <f>MAX(Inputs!$B$26,IF(F35&lt;=Inputs!$B$23,F35*Inputs!$B$24,Inputs!$B$23*Inputs!$B$24+(F35-Inputs!$B$23)*Inputs!$B$25))</f>
        <v>32.8792</v>
      </c>
      <c r="K35" s="42">
        <f>'SKU-ASIN'!$D$7</f>
        <v>30.02</v>
      </c>
      <c r="L35" s="42">
        <f>'SKU-ASIN'!$E$7</f>
        <v>4.24</v>
      </c>
      <c r="M35" s="42">
        <f>F35*'SKU-ASIN'!$I$7</f>
        <v>34.3188</v>
      </c>
      <c r="N35" s="41">
        <f>G35*Inputs!$B$9</f>
        <v>15.38097479</v>
      </c>
      <c r="O35" s="42">
        <f>'SKU-ASIN'!$H$7</f>
        <v>71.6</v>
      </c>
      <c r="P35" s="43">
        <f t="shared" si="20"/>
        <v>3.823210084</v>
      </c>
      <c r="Q35" s="44">
        <f t="shared" si="21"/>
        <v>0.01988539809</v>
      </c>
      <c r="R35" s="43">
        <f>IF(((K35+L35+O35)/(1/(1+Inputs!$B$4)-Inputs!$B$24-'SKU-ASIN'!$I$7-Inputs!$B$9/(1+Inputs!$B$4)))&lt;=Inputs!$B$23,((K35+L35+O35)/(1/(1+Inputs!$B$4)-Inputs!$B$24-'SKU-ASIN'!$I$7-Inputs!$B$9/(1+Inputs!$B$4))),((K35+L35+O35+Inputs!$B$23*(Inputs!$B$24-Inputs!$B$25))/(1/(1+Inputs!$B$4)-Inputs!$B$25-'SKU-ASIN'!$I$7-Inputs!$B$9/(1+Inputs!$B$4))))</f>
        <v>221.4833735</v>
      </c>
      <c r="S35" s="44">
        <f t="shared" si="22"/>
        <v>0.05339678888</v>
      </c>
    </row>
    <row r="36">
      <c r="A36" s="9" t="s">
        <v>14</v>
      </c>
      <c r="B36" s="39" t="str">
        <f>VLOOKUP(A36,'SKU-ASIN'!$A$4:$I$9,2,FALSE())</f>
        <v>B0FPCK6XPN</v>
      </c>
      <c r="C36" s="9" t="s">
        <v>188</v>
      </c>
      <c r="D36" s="9" t="s">
        <v>184</v>
      </c>
      <c r="E36" s="45">
        <f>E32</f>
        <v>285.99</v>
      </c>
      <c r="F36" s="41">
        <f>E36/(1+Inputs!$B$4)*(1-Inputs!$B$10)</f>
        <v>240.3277311</v>
      </c>
      <c r="G36" s="41">
        <f>F36</f>
        <v>240.3277311</v>
      </c>
      <c r="H36" s="41">
        <f t="shared" si="23"/>
        <v>0</v>
      </c>
      <c r="I36" s="41">
        <f t="shared" si="24"/>
        <v>0</v>
      </c>
      <c r="J36" s="41">
        <f>MAX(Inputs!$B$26,IF(F36&lt;=Inputs!$B$23,F36*Inputs!$B$24,Inputs!$B$23*Inputs!$B$24+(F36-Inputs!$B$23)*Inputs!$B$25))</f>
        <v>34.03277311</v>
      </c>
      <c r="K36" s="42">
        <f>'SKU-ASIN'!$D$7</f>
        <v>30.02</v>
      </c>
      <c r="L36" s="42">
        <f>'SKU-ASIN'!$E$7</f>
        <v>4.24</v>
      </c>
      <c r="M36" s="42">
        <f>F36*'SKU-ASIN'!$I$7</f>
        <v>36.04915966</v>
      </c>
      <c r="N36" s="41">
        <f>G36*Inputs!$B$9</f>
        <v>19.22621849</v>
      </c>
      <c r="O36" s="42">
        <f>'SKU-ASIN'!$H$7</f>
        <v>71.6</v>
      </c>
      <c r="P36" s="43">
        <f t="shared" si="20"/>
        <v>45.15957983</v>
      </c>
      <c r="Q36" s="44">
        <f t="shared" si="21"/>
        <v>0.1879083185</v>
      </c>
      <c r="R36" s="43">
        <f>IF(((K36+L36+O36)/(1/(1+Inputs!$B$4)-Inputs!$B$24-'SKU-ASIN'!$I$7-Inputs!$B$9/(1+Inputs!$B$4)))&lt;=Inputs!$B$23,((K36+L36+O36)/(1/(1+Inputs!$B$4)-Inputs!$B$24-'SKU-ASIN'!$I$7-Inputs!$B$9/(1+Inputs!$B$4))),((K36+L36+O36+Inputs!$B$23*(Inputs!$B$24-Inputs!$B$25))/(1/(1+Inputs!$B$4)-Inputs!$B$25-'SKU-ASIN'!$I$7-Inputs!$B$9/(1+Inputs!$B$4))))</f>
        <v>221.4833735</v>
      </c>
      <c r="S36" s="44">
        <f t="shared" si="22"/>
        <v>0.6307203887</v>
      </c>
    </row>
    <row r="37">
      <c r="A37" s="9" t="s">
        <v>14</v>
      </c>
      <c r="B37" s="39" t="str">
        <f>VLOOKUP(A37,'SKU-ASIN'!$A$4:$I$9,2,FALSE())</f>
        <v>B0FPCK6XPN</v>
      </c>
      <c r="C37" s="9" t="s">
        <v>189</v>
      </c>
      <c r="D37" s="9" t="s">
        <v>184</v>
      </c>
      <c r="E37" s="45">
        <f>E32</f>
        <v>285.99</v>
      </c>
      <c r="F37" s="41">
        <f>E37*(1-Inputs!$B$11)</f>
        <v>271.6905</v>
      </c>
      <c r="G37" s="41">
        <f>F37/(1+Inputs!$B$4)</f>
        <v>228.3113445</v>
      </c>
      <c r="H37" s="41">
        <f t="shared" si="23"/>
        <v>0</v>
      </c>
      <c r="I37" s="41">
        <f t="shared" si="24"/>
        <v>0</v>
      </c>
      <c r="J37" s="41">
        <f>MAX(Inputs!$B$26,IF(F37&lt;=Inputs!$B$23,F37*Inputs!$B$24,Inputs!$B$23*Inputs!$B$24+(F37-Inputs!$B$23)*Inputs!$B$25))</f>
        <v>37.16905</v>
      </c>
      <c r="K37" s="42">
        <f>'SKU-ASIN'!$D$7</f>
        <v>30.02</v>
      </c>
      <c r="L37" s="42">
        <f>'SKU-ASIN'!$E$7</f>
        <v>4.24</v>
      </c>
      <c r="M37" s="42">
        <f>F37*'SKU-ASIN'!$I$7</f>
        <v>40.753575</v>
      </c>
      <c r="N37" s="41">
        <f>G37*Inputs!$B$9</f>
        <v>18.26490756</v>
      </c>
      <c r="O37" s="42">
        <f>'SKU-ASIN'!$H$7</f>
        <v>71.6</v>
      </c>
      <c r="P37" s="43">
        <f t="shared" si="20"/>
        <v>26.26381197</v>
      </c>
      <c r="Q37" s="44">
        <f t="shared" si="21"/>
        <v>0.1150350721</v>
      </c>
      <c r="R37" s="43">
        <f>IF(((K37+L37+O37)/(1/(1+Inputs!$B$4)-Inputs!$B$24-'SKU-ASIN'!$I$7-Inputs!$B$9/(1+Inputs!$B$4)))&lt;=Inputs!$B$23,((K37+L37+O37)/(1/(1+Inputs!$B$4)-Inputs!$B$24-'SKU-ASIN'!$I$7-Inputs!$B$9/(1+Inputs!$B$4))),((K37+L37+O37+Inputs!$B$23*(Inputs!$B$24-Inputs!$B$25))/(1/(1+Inputs!$B$4)-Inputs!$B$25-'SKU-ASIN'!$I$7-Inputs!$B$9/(1+Inputs!$B$4))))</f>
        <v>221.4833735</v>
      </c>
      <c r="S37" s="44">
        <f t="shared" si="22"/>
        <v>0.3668130164</v>
      </c>
    </row>
    <row r="38">
      <c r="A38" s="9" t="s">
        <v>14</v>
      </c>
      <c r="B38" s="39" t="str">
        <f>VLOOKUP(A38,'SKU-ASIN'!$A$4:$I$9,2,FALSE())</f>
        <v>B0FPCK6XPN</v>
      </c>
      <c r="C38" s="9" t="s">
        <v>190</v>
      </c>
      <c r="D38" s="9" t="s">
        <v>184</v>
      </c>
      <c r="E38" s="45">
        <f>E32</f>
        <v>285.99</v>
      </c>
      <c r="F38" s="41">
        <f>E38*(1-Inputs!$B$12)</f>
        <v>265.9707</v>
      </c>
      <c r="G38" s="41">
        <f>F38/(1+Inputs!$B$4)</f>
        <v>223.5047899</v>
      </c>
      <c r="H38" s="41">
        <f t="shared" si="23"/>
        <v>0</v>
      </c>
      <c r="I38" s="41">
        <f t="shared" si="24"/>
        <v>0</v>
      </c>
      <c r="J38" s="41">
        <f>MAX(Inputs!$B$26,IF(F38&lt;=Inputs!$B$23,F38*Inputs!$B$24,Inputs!$B$23*Inputs!$B$24+(F38-Inputs!$B$23)*Inputs!$B$25))</f>
        <v>36.59707</v>
      </c>
      <c r="K38" s="42">
        <f>'SKU-ASIN'!$D$7</f>
        <v>30.02</v>
      </c>
      <c r="L38" s="42">
        <f>'SKU-ASIN'!$E$7</f>
        <v>4.24</v>
      </c>
      <c r="M38" s="42">
        <f>F38*'SKU-ASIN'!$I$7</f>
        <v>39.895605</v>
      </c>
      <c r="N38" s="41">
        <f>G38*Inputs!$B$9</f>
        <v>17.88038319</v>
      </c>
      <c r="O38" s="42">
        <f>'SKU-ASIN'!$H$7</f>
        <v>71.6</v>
      </c>
      <c r="P38" s="43">
        <f t="shared" si="20"/>
        <v>23.27173172</v>
      </c>
      <c r="Q38" s="44">
        <f t="shared" si="21"/>
        <v>0.1041218478</v>
      </c>
      <c r="R38" s="43">
        <f>IF(((K38+L38+O38)/(1/(1+Inputs!$B$4)-Inputs!$B$24-'SKU-ASIN'!$I$7-Inputs!$B$9/(1+Inputs!$B$4)))&lt;=Inputs!$B$23,((K38+L38+O38)/(1/(1+Inputs!$B$4)-Inputs!$B$24-'SKU-ASIN'!$I$7-Inputs!$B$9/(1+Inputs!$B$4))),((K38+L38+O38+Inputs!$B$23*(Inputs!$B$24-Inputs!$B$25))/(1/(1+Inputs!$B$4)-Inputs!$B$25-'SKU-ASIN'!$I$7-Inputs!$B$9/(1+Inputs!$B$4))))</f>
        <v>221.4833735</v>
      </c>
      <c r="S38" s="44">
        <f t="shared" si="22"/>
        <v>0.3250241861</v>
      </c>
    </row>
    <row r="39">
      <c r="A39" s="9" t="s">
        <v>14</v>
      </c>
      <c r="B39" s="39" t="str">
        <f>VLOOKUP(A39,'SKU-ASIN'!$A$4:$I$9,2,FALSE())</f>
        <v>B0FPCK6XPN</v>
      </c>
      <c r="C39" s="9" t="s">
        <v>191</v>
      </c>
      <c r="D39" s="9" t="s">
        <v>184</v>
      </c>
      <c r="E39" s="45">
        <f>E32</f>
        <v>285.99</v>
      </c>
      <c r="F39" s="41">
        <f>E39*(1-Inputs!$B$13)</f>
        <v>257.391</v>
      </c>
      <c r="G39" s="41">
        <f>F39/(1+Inputs!$B$4)</f>
        <v>216.294958</v>
      </c>
      <c r="H39" s="41">
        <f t="shared" si="23"/>
        <v>0</v>
      </c>
      <c r="I39" s="41">
        <f t="shared" si="24"/>
        <v>0</v>
      </c>
      <c r="J39" s="41">
        <f>MAX(Inputs!$B$26,IF(F39&lt;=Inputs!$B$23,F39*Inputs!$B$24,Inputs!$B$23*Inputs!$B$24+(F39-Inputs!$B$23)*Inputs!$B$25))</f>
        <v>35.7391</v>
      </c>
      <c r="K39" s="42">
        <f>'SKU-ASIN'!$D$7</f>
        <v>30.02</v>
      </c>
      <c r="L39" s="42">
        <f>'SKU-ASIN'!$E$7</f>
        <v>4.24</v>
      </c>
      <c r="M39" s="42">
        <f>F39*'SKU-ASIN'!$I$7</f>
        <v>38.60865</v>
      </c>
      <c r="N39" s="41">
        <f>G39*Inputs!$B$9</f>
        <v>17.30359664</v>
      </c>
      <c r="O39" s="42">
        <f>'SKU-ASIN'!$H$7</f>
        <v>71.6</v>
      </c>
      <c r="P39" s="43">
        <f t="shared" si="20"/>
        <v>18.78361134</v>
      </c>
      <c r="Q39" s="44">
        <f t="shared" si="21"/>
        <v>0.08684257608</v>
      </c>
      <c r="R39" s="43">
        <f>IF(((K39+L39+O39)/(1/(1+Inputs!$B$4)-Inputs!$B$24-'SKU-ASIN'!$I$7-Inputs!$B$9/(1+Inputs!$B$4)))&lt;=Inputs!$B$23,((K39+L39+O39)/(1/(1+Inputs!$B$4)-Inputs!$B$24-'SKU-ASIN'!$I$7-Inputs!$B$9/(1+Inputs!$B$4))),((K39+L39+O39+Inputs!$B$23*(Inputs!$B$24-Inputs!$B$25))/(1/(1+Inputs!$B$4)-Inputs!$B$25-'SKU-ASIN'!$I$7-Inputs!$B$9/(1+Inputs!$B$4))))</f>
        <v>221.4833735</v>
      </c>
      <c r="S39" s="44">
        <f t="shared" si="22"/>
        <v>0.2623409406</v>
      </c>
    </row>
    <row r="40"/>
    <row r="41">
      <c r="A41" s="9" t="s">
        <v>13</v>
      </c>
      <c r="B41" s="39" t="str">
        <f>VLOOKUP(A41,'SKU-ASIN'!$A$4:$I$9,2,FALSE())</f>
        <v>B0FPCK3ZQ2</v>
      </c>
      <c r="C41" s="9" t="s">
        <v>183</v>
      </c>
      <c r="D41" s="9" t="s">
        <v>184</v>
      </c>
      <c r="E41" s="40">
        <v>265.99</v>
      </c>
      <c r="F41" s="41">
        <f>E41</f>
        <v>265.99</v>
      </c>
      <c r="G41" s="41">
        <f>F41/(1+Inputs!$B$4)</f>
        <v>223.5210084</v>
      </c>
      <c r="H41" s="41">
        <f t="shared" ref="H41:I41" si="25">0</f>
        <v>0</v>
      </c>
      <c r="I41" s="41">
        <f t="shared" si="25"/>
        <v>0</v>
      </c>
      <c r="J41" s="41">
        <f>MAX(Inputs!$B$26,IF(F41&lt;=Inputs!$B$23,F41*Inputs!$B$24,Inputs!$B$23*Inputs!$B$24+(F41-Inputs!$B$23)*Inputs!$B$25))</f>
        <v>36.599</v>
      </c>
      <c r="K41" s="42">
        <f>'SKU-ASIN'!$D$8</f>
        <v>32.64</v>
      </c>
      <c r="L41" s="42">
        <f>'SKU-ASIN'!$E$8</f>
        <v>4.73</v>
      </c>
      <c r="M41" s="42">
        <f>F41*'SKU-ASIN'!$I$8</f>
        <v>39.8985</v>
      </c>
      <c r="N41" s="41">
        <f>G41*Inputs!$B$9</f>
        <v>17.88168067</v>
      </c>
      <c r="O41" s="42">
        <f>'SKU-ASIN'!$H$8</f>
        <v>62.45</v>
      </c>
      <c r="P41" s="43">
        <f t="shared" ref="P41:P48" si="26">G41-J41-K41-L41-M41-N41-I41-H41-O41</f>
        <v>29.32182773</v>
      </c>
      <c r="Q41" s="44">
        <f t="shared" ref="Q41:Q48" si="27">IFERROR(P41/G41,0)</f>
        <v>0.1311815294</v>
      </c>
      <c r="R41" s="43">
        <f>IF(((K41+L41+O41)/(1/(1+Inputs!$B$4)-Inputs!$B$24-'SKU-ASIN'!$I$8-Inputs!$B$9/(1+Inputs!$B$4)))&lt;=Inputs!$B$23,((K41+L41+O41)/(1/(1+Inputs!$B$4)-Inputs!$B$24-'SKU-ASIN'!$I$8-Inputs!$B$9/(1+Inputs!$B$4))),((K41+L41+O41+Inputs!$B$23*(Inputs!$B$24-Inputs!$B$25))/(1/(1+Inputs!$B$4)-Inputs!$B$25-'SKU-ASIN'!$I$8-Inputs!$B$9/(1+Inputs!$B$4))))</f>
        <v>209.9370281</v>
      </c>
      <c r="S41" s="44">
        <f t="shared" ref="S41:S48" si="28">IFERROR(P41/O41,0)</f>
        <v>0.4695248636</v>
      </c>
    </row>
    <row r="42">
      <c r="A42" s="9" t="s">
        <v>13</v>
      </c>
      <c r="B42" s="39" t="str">
        <f>VLOOKUP(A42,'SKU-ASIN'!$A$4:$I$9,2,FALSE())</f>
        <v>B0FPCK3ZQ2</v>
      </c>
      <c r="C42" s="9" t="s">
        <v>183</v>
      </c>
      <c r="D42" s="9" t="s">
        <v>185</v>
      </c>
      <c r="E42" s="45">
        <f>E41</f>
        <v>265.99</v>
      </c>
      <c r="F42" s="41">
        <f>E42*(1-Inputs!$B$14)</f>
        <v>239.391</v>
      </c>
      <c r="G42" s="41">
        <f>F42/(1+Inputs!$B$4)</f>
        <v>201.1689076</v>
      </c>
      <c r="H42" s="41">
        <f>F42*Inputs!$B$15</f>
        <v>5.984775</v>
      </c>
      <c r="I42" s="41">
        <f>0</f>
        <v>0</v>
      </c>
      <c r="J42" s="41">
        <f>MAX(Inputs!$B$26,IF(F42&lt;=Inputs!$B$23,F42*Inputs!$B$24,Inputs!$B$23*Inputs!$B$24+(F42-Inputs!$B$23)*Inputs!$B$25))</f>
        <v>33.9391</v>
      </c>
      <c r="K42" s="42">
        <f>'SKU-ASIN'!$D$8</f>
        <v>32.64</v>
      </c>
      <c r="L42" s="42">
        <f>'SKU-ASIN'!$E$8</f>
        <v>4.73</v>
      </c>
      <c r="M42" s="42">
        <f>F42*'SKU-ASIN'!$I$8</f>
        <v>35.90865</v>
      </c>
      <c r="N42" s="41">
        <f>G42*Inputs!$B$9</f>
        <v>16.09351261</v>
      </c>
      <c r="O42" s="42">
        <f>'SKU-ASIN'!$H$8</f>
        <v>62.45</v>
      </c>
      <c r="P42" s="43">
        <f t="shared" si="26"/>
        <v>9.422869958</v>
      </c>
      <c r="Q42" s="44">
        <f t="shared" si="27"/>
        <v>0.0468405882</v>
      </c>
      <c r="R42" s="43">
        <f>IF(((K42+L42+O42)/(1/(1+Inputs!$B$4)-Inputs!$B$24-'SKU-ASIN'!$I$8-Inputs!$B$9/(1+Inputs!$B$4)))&lt;=Inputs!$B$23,((K42+L42+O42)/(1/(1+Inputs!$B$4)-Inputs!$B$24-'SKU-ASIN'!$I$8-Inputs!$B$9/(1+Inputs!$B$4))),((K42+L42+O42+Inputs!$B$23*(Inputs!$B$24-Inputs!$B$25))/(1/(1+Inputs!$B$4)-Inputs!$B$25-'SKU-ASIN'!$I$8-Inputs!$B$9/(1+Inputs!$B$4))))</f>
        <v>209.9370281</v>
      </c>
      <c r="S42" s="44">
        <f t="shared" si="28"/>
        <v>0.1508866286</v>
      </c>
    </row>
    <row r="43">
      <c r="A43" s="9" t="s">
        <v>13</v>
      </c>
      <c r="B43" s="39" t="str">
        <f>VLOOKUP(A43,'SKU-ASIN'!$A$4:$I$9,2,FALSE())</f>
        <v>B0FPCK3ZQ2</v>
      </c>
      <c r="C43" s="9" t="s">
        <v>183</v>
      </c>
      <c r="D43" s="9" t="s">
        <v>186</v>
      </c>
      <c r="E43" s="45">
        <f>E41</f>
        <v>265.99</v>
      </c>
      <c r="F43" s="41">
        <f>E43*(1-Inputs!$B$17)</f>
        <v>226.0915</v>
      </c>
      <c r="G43" s="41">
        <f>F43/(1+Inputs!$B$4)</f>
        <v>189.9928571</v>
      </c>
      <c r="H43" s="41">
        <f t="shared" ref="H43:H48" si="29">0</f>
        <v>0</v>
      </c>
      <c r="I43" s="41">
        <f>F43*Inputs!$B$18</f>
        <v>3.3913725</v>
      </c>
      <c r="J43" s="41">
        <f>MAX(Inputs!$B$26,IF(F43&lt;=Inputs!$B$23,F43*Inputs!$B$24,Inputs!$B$23*Inputs!$B$24+(F43-Inputs!$B$23)*Inputs!$B$25))</f>
        <v>32.60915</v>
      </c>
      <c r="K43" s="42">
        <f>'SKU-ASIN'!$D$8</f>
        <v>32.64</v>
      </c>
      <c r="L43" s="42">
        <f>'SKU-ASIN'!$E$8</f>
        <v>4.73</v>
      </c>
      <c r="M43" s="42">
        <f>F43*'SKU-ASIN'!$I$8</f>
        <v>33.913725</v>
      </c>
      <c r="N43" s="41">
        <f>G43*Inputs!$B$9</f>
        <v>15.19942857</v>
      </c>
      <c r="O43" s="42">
        <f>'SKU-ASIN'!$H$8</f>
        <v>62.45</v>
      </c>
      <c r="P43" s="43">
        <f t="shared" si="26"/>
        <v>5.059181071</v>
      </c>
      <c r="Q43" s="44">
        <f t="shared" si="27"/>
        <v>0.02662826986</v>
      </c>
      <c r="R43" s="43">
        <f>IF(((K43+L43+O43)/(1/(1+Inputs!$B$4)-Inputs!$B$24-'SKU-ASIN'!$I$8-Inputs!$B$9/(1+Inputs!$B$4)))&lt;=Inputs!$B$23,((K43+L43+O43)/(1/(1+Inputs!$B$4)-Inputs!$B$24-'SKU-ASIN'!$I$8-Inputs!$B$9/(1+Inputs!$B$4))),((K43+L43+O43+Inputs!$B$23*(Inputs!$B$24-Inputs!$B$25))/(1/(1+Inputs!$B$4)-Inputs!$B$25-'SKU-ASIN'!$I$8-Inputs!$B$9/(1+Inputs!$B$4))))</f>
        <v>209.9370281</v>
      </c>
      <c r="S43" s="44">
        <f t="shared" si="28"/>
        <v>0.08101170651</v>
      </c>
    </row>
    <row r="44">
      <c r="A44" s="9" t="s">
        <v>13</v>
      </c>
      <c r="B44" s="39" t="str">
        <f>VLOOKUP(A44,'SKU-ASIN'!$A$4:$I$9,2,FALSE())</f>
        <v>B0FPCK3ZQ2</v>
      </c>
      <c r="C44" s="9" t="s">
        <v>183</v>
      </c>
      <c r="D44" s="9" t="s">
        <v>187</v>
      </c>
      <c r="E44" s="45">
        <f>E41</f>
        <v>265.99</v>
      </c>
      <c r="F44" s="41">
        <f>E44*(1-Inputs!$B$20)</f>
        <v>212.792</v>
      </c>
      <c r="G44" s="41">
        <f>F44/(1+Inputs!$B$4)</f>
        <v>178.8168067</v>
      </c>
      <c r="H44" s="41">
        <f t="shared" si="29"/>
        <v>0</v>
      </c>
      <c r="I44" s="41">
        <f t="shared" ref="I44:I48" si="30">0</f>
        <v>0</v>
      </c>
      <c r="J44" s="41">
        <f>MAX(Inputs!$B$26,IF(F44&lt;=Inputs!$B$23,F44*Inputs!$B$24,Inputs!$B$23*Inputs!$B$24+(F44-Inputs!$B$23)*Inputs!$B$25))</f>
        <v>31.2792</v>
      </c>
      <c r="K44" s="42">
        <f>'SKU-ASIN'!$D$8</f>
        <v>32.64</v>
      </c>
      <c r="L44" s="42">
        <f>'SKU-ASIN'!$E$8</f>
        <v>4.73</v>
      </c>
      <c r="M44" s="42">
        <f>F44*'SKU-ASIN'!$I$8</f>
        <v>31.9188</v>
      </c>
      <c r="N44" s="41">
        <f>G44*Inputs!$B$9</f>
        <v>14.30534454</v>
      </c>
      <c r="O44" s="42">
        <f>'SKU-ASIN'!$H$8</f>
        <v>62.45</v>
      </c>
      <c r="P44" s="43">
        <f t="shared" si="26"/>
        <v>1.493462185</v>
      </c>
      <c r="Q44" s="44">
        <f t="shared" si="27"/>
        <v>0.008351911726</v>
      </c>
      <c r="R44" s="43">
        <f>IF(((K44+L44+O44)/(1/(1+Inputs!$B$4)-Inputs!$B$24-'SKU-ASIN'!$I$8-Inputs!$B$9/(1+Inputs!$B$4)))&lt;=Inputs!$B$23,((K44+L44+O44)/(1/(1+Inputs!$B$4)-Inputs!$B$24-'SKU-ASIN'!$I$8-Inputs!$B$9/(1+Inputs!$B$4))),((K44+L44+O44+Inputs!$B$23*(Inputs!$B$24-Inputs!$B$25))/(1/(1+Inputs!$B$4)-Inputs!$B$25-'SKU-ASIN'!$I$8-Inputs!$B$9/(1+Inputs!$B$4))))</f>
        <v>209.9370281</v>
      </c>
      <c r="S44" s="44">
        <f t="shared" si="28"/>
        <v>0.02391452658</v>
      </c>
    </row>
    <row r="45">
      <c r="A45" s="9" t="s">
        <v>13</v>
      </c>
      <c r="B45" s="39" t="str">
        <f>VLOOKUP(A45,'SKU-ASIN'!$A$4:$I$9,2,FALSE())</f>
        <v>B0FPCK3ZQ2</v>
      </c>
      <c r="C45" s="9" t="s">
        <v>188</v>
      </c>
      <c r="D45" s="9" t="s">
        <v>184</v>
      </c>
      <c r="E45" s="45">
        <f>E41</f>
        <v>265.99</v>
      </c>
      <c r="F45" s="41">
        <f>E45/(1+Inputs!$B$4)*(1-Inputs!$B$10)</f>
        <v>223.5210084</v>
      </c>
      <c r="G45" s="41">
        <f>F45</f>
        <v>223.5210084</v>
      </c>
      <c r="H45" s="41">
        <f t="shared" si="29"/>
        <v>0</v>
      </c>
      <c r="I45" s="41">
        <f t="shared" si="30"/>
        <v>0</v>
      </c>
      <c r="J45" s="41">
        <f>MAX(Inputs!$B$26,IF(F45&lt;=Inputs!$B$23,F45*Inputs!$B$24,Inputs!$B$23*Inputs!$B$24+(F45-Inputs!$B$23)*Inputs!$B$25))</f>
        <v>32.35210084</v>
      </c>
      <c r="K45" s="42">
        <f>'SKU-ASIN'!$D$8</f>
        <v>32.64</v>
      </c>
      <c r="L45" s="42">
        <f>'SKU-ASIN'!$E$8</f>
        <v>4.73</v>
      </c>
      <c r="M45" s="42">
        <f>F45*'SKU-ASIN'!$I$8</f>
        <v>33.52815126</v>
      </c>
      <c r="N45" s="41">
        <f>G45*Inputs!$B$9</f>
        <v>17.88168067</v>
      </c>
      <c r="O45" s="42">
        <f>'SKU-ASIN'!$H$8</f>
        <v>62.45</v>
      </c>
      <c r="P45" s="43">
        <f t="shared" si="26"/>
        <v>39.93907563</v>
      </c>
      <c r="Q45" s="44">
        <f t="shared" si="27"/>
        <v>0.1786815294</v>
      </c>
      <c r="R45" s="43">
        <f>IF(((K45+L45+O45)/(1/(1+Inputs!$B$4)-Inputs!$B$24-'SKU-ASIN'!$I$8-Inputs!$B$9/(1+Inputs!$B$4)))&lt;=Inputs!$B$23,((K45+L45+O45)/(1/(1+Inputs!$B$4)-Inputs!$B$24-'SKU-ASIN'!$I$8-Inputs!$B$9/(1+Inputs!$B$4))),((K45+L45+O45+Inputs!$B$23*(Inputs!$B$24-Inputs!$B$25))/(1/(1+Inputs!$B$4)-Inputs!$B$25-'SKU-ASIN'!$I$8-Inputs!$B$9/(1+Inputs!$B$4))))</f>
        <v>209.9370281</v>
      </c>
      <c r="S45" s="44">
        <f t="shared" si="28"/>
        <v>0.6395368396</v>
      </c>
    </row>
    <row r="46">
      <c r="A46" s="9" t="s">
        <v>13</v>
      </c>
      <c r="B46" s="39" t="str">
        <f>VLOOKUP(A46,'SKU-ASIN'!$A$4:$I$9,2,FALSE())</f>
        <v>B0FPCK3ZQ2</v>
      </c>
      <c r="C46" s="9" t="s">
        <v>189</v>
      </c>
      <c r="D46" s="9" t="s">
        <v>184</v>
      </c>
      <c r="E46" s="45">
        <f>E41</f>
        <v>265.99</v>
      </c>
      <c r="F46" s="41">
        <f>E46*(1-Inputs!$B$11)</f>
        <v>252.6905</v>
      </c>
      <c r="G46" s="41">
        <f>F46/(1+Inputs!$B$4)</f>
        <v>212.344958</v>
      </c>
      <c r="H46" s="41">
        <f t="shared" si="29"/>
        <v>0</v>
      </c>
      <c r="I46" s="41">
        <f t="shared" si="30"/>
        <v>0</v>
      </c>
      <c r="J46" s="41">
        <f>MAX(Inputs!$B$26,IF(F46&lt;=Inputs!$B$23,F46*Inputs!$B$24,Inputs!$B$23*Inputs!$B$24+(F46-Inputs!$B$23)*Inputs!$B$25))</f>
        <v>35.26905</v>
      </c>
      <c r="K46" s="42">
        <f>'SKU-ASIN'!$D$8</f>
        <v>32.64</v>
      </c>
      <c r="L46" s="42">
        <f>'SKU-ASIN'!$E$8</f>
        <v>4.73</v>
      </c>
      <c r="M46" s="42">
        <f>F46*'SKU-ASIN'!$I$8</f>
        <v>37.903575</v>
      </c>
      <c r="N46" s="41">
        <f>G46*Inputs!$B$9</f>
        <v>16.98759664</v>
      </c>
      <c r="O46" s="42">
        <f>'SKU-ASIN'!$H$8</f>
        <v>62.45</v>
      </c>
      <c r="P46" s="43">
        <f t="shared" si="26"/>
        <v>22.36473634</v>
      </c>
      <c r="Q46" s="44">
        <f t="shared" si="27"/>
        <v>0.1053226625</v>
      </c>
      <c r="R46" s="43">
        <f>IF(((K46+L46+O46)/(1/(1+Inputs!$B$4)-Inputs!$B$24-'SKU-ASIN'!$I$8-Inputs!$B$9/(1+Inputs!$B$4)))&lt;=Inputs!$B$23,((K46+L46+O46)/(1/(1+Inputs!$B$4)-Inputs!$B$24-'SKU-ASIN'!$I$8-Inputs!$B$9/(1+Inputs!$B$4))),((K46+L46+O46+Inputs!$B$23*(Inputs!$B$24-Inputs!$B$25))/(1/(1+Inputs!$B$4)-Inputs!$B$25-'SKU-ASIN'!$I$8-Inputs!$B$9/(1+Inputs!$B$4))))</f>
        <v>209.9370281</v>
      </c>
      <c r="S46" s="44">
        <f t="shared" si="28"/>
        <v>0.3581222793</v>
      </c>
    </row>
    <row r="47">
      <c r="A47" s="9" t="s">
        <v>13</v>
      </c>
      <c r="B47" s="39" t="str">
        <f>VLOOKUP(A47,'SKU-ASIN'!$A$4:$I$9,2,FALSE())</f>
        <v>B0FPCK3ZQ2</v>
      </c>
      <c r="C47" s="9" t="s">
        <v>190</v>
      </c>
      <c r="D47" s="9" t="s">
        <v>184</v>
      </c>
      <c r="E47" s="45">
        <f>E41</f>
        <v>265.99</v>
      </c>
      <c r="F47" s="41">
        <f>E47*(1-Inputs!$B$12)</f>
        <v>247.3707</v>
      </c>
      <c r="G47" s="41">
        <f>F47/(1+Inputs!$B$4)</f>
        <v>207.8745378</v>
      </c>
      <c r="H47" s="41">
        <f t="shared" si="29"/>
        <v>0</v>
      </c>
      <c r="I47" s="41">
        <f t="shared" si="30"/>
        <v>0</v>
      </c>
      <c r="J47" s="41">
        <f>MAX(Inputs!$B$26,IF(F47&lt;=Inputs!$B$23,F47*Inputs!$B$24,Inputs!$B$23*Inputs!$B$24+(F47-Inputs!$B$23)*Inputs!$B$25))</f>
        <v>34.73707</v>
      </c>
      <c r="K47" s="42">
        <f>'SKU-ASIN'!$D$8</f>
        <v>32.64</v>
      </c>
      <c r="L47" s="42">
        <f>'SKU-ASIN'!$E$8</f>
        <v>4.73</v>
      </c>
      <c r="M47" s="42">
        <f>F47*'SKU-ASIN'!$I$8</f>
        <v>37.105605</v>
      </c>
      <c r="N47" s="41">
        <f>G47*Inputs!$B$9</f>
        <v>16.62996303</v>
      </c>
      <c r="O47" s="42">
        <f>'SKU-ASIN'!$H$8</f>
        <v>62.45</v>
      </c>
      <c r="P47" s="43">
        <f t="shared" si="26"/>
        <v>19.58189979</v>
      </c>
      <c r="Q47" s="44">
        <f t="shared" si="27"/>
        <v>0.09420056923</v>
      </c>
      <c r="R47" s="43">
        <f>IF(((K47+L47+O47)/(1/(1+Inputs!$B$4)-Inputs!$B$24-'SKU-ASIN'!$I$8-Inputs!$B$9/(1+Inputs!$B$4)))&lt;=Inputs!$B$23,((K47+L47+O47)/(1/(1+Inputs!$B$4)-Inputs!$B$24-'SKU-ASIN'!$I$8-Inputs!$B$9/(1+Inputs!$B$4))),((K47+L47+O47+Inputs!$B$23*(Inputs!$B$24-Inputs!$B$25))/(1/(1+Inputs!$B$4)-Inputs!$B$25-'SKU-ASIN'!$I$8-Inputs!$B$9/(1+Inputs!$B$4))))</f>
        <v>209.9370281</v>
      </c>
      <c r="S47" s="44">
        <f t="shared" si="28"/>
        <v>0.3135612456</v>
      </c>
    </row>
    <row r="48">
      <c r="A48" s="9" t="s">
        <v>13</v>
      </c>
      <c r="B48" s="39" t="str">
        <f>VLOOKUP(A48,'SKU-ASIN'!$A$4:$I$9,2,FALSE())</f>
        <v>B0FPCK3ZQ2</v>
      </c>
      <c r="C48" s="9" t="s">
        <v>191</v>
      </c>
      <c r="D48" s="9" t="s">
        <v>184</v>
      </c>
      <c r="E48" s="45">
        <f>E41</f>
        <v>265.99</v>
      </c>
      <c r="F48" s="41">
        <f>E48*(1-Inputs!$B$13)</f>
        <v>239.391</v>
      </c>
      <c r="G48" s="41">
        <f>F48/(1+Inputs!$B$4)</f>
        <v>201.1689076</v>
      </c>
      <c r="H48" s="41">
        <f t="shared" si="29"/>
        <v>0</v>
      </c>
      <c r="I48" s="41">
        <f t="shared" si="30"/>
        <v>0</v>
      </c>
      <c r="J48" s="41">
        <f>MAX(Inputs!$B$26,IF(F48&lt;=Inputs!$B$23,F48*Inputs!$B$24,Inputs!$B$23*Inputs!$B$24+(F48-Inputs!$B$23)*Inputs!$B$25))</f>
        <v>33.9391</v>
      </c>
      <c r="K48" s="42">
        <f>'SKU-ASIN'!$D$8</f>
        <v>32.64</v>
      </c>
      <c r="L48" s="42">
        <f>'SKU-ASIN'!$E$8</f>
        <v>4.73</v>
      </c>
      <c r="M48" s="42">
        <f>F48*'SKU-ASIN'!$I$8</f>
        <v>35.90865</v>
      </c>
      <c r="N48" s="41">
        <f>G48*Inputs!$B$9</f>
        <v>16.09351261</v>
      </c>
      <c r="O48" s="42">
        <f>'SKU-ASIN'!$H$8</f>
        <v>62.45</v>
      </c>
      <c r="P48" s="43">
        <f t="shared" si="26"/>
        <v>15.40764496</v>
      </c>
      <c r="Q48" s="44">
        <f t="shared" si="27"/>
        <v>0.0765905882</v>
      </c>
      <c r="R48" s="43">
        <f>IF(((K48+L48+O48)/(1/(1+Inputs!$B$4)-Inputs!$B$24-'SKU-ASIN'!$I$8-Inputs!$B$9/(1+Inputs!$B$4)))&lt;=Inputs!$B$23,((K48+L48+O48)/(1/(1+Inputs!$B$4)-Inputs!$B$24-'SKU-ASIN'!$I$8-Inputs!$B$9/(1+Inputs!$B$4))),((K48+L48+O48+Inputs!$B$23*(Inputs!$B$24-Inputs!$B$25))/(1/(1+Inputs!$B$4)-Inputs!$B$25-'SKU-ASIN'!$I$8-Inputs!$B$9/(1+Inputs!$B$4))))</f>
        <v>209.9370281</v>
      </c>
      <c r="S48" s="44">
        <f t="shared" si="28"/>
        <v>0.2467196951</v>
      </c>
    </row>
    <row r="49"/>
    <row r="50">
      <c r="A50" s="9" t="s">
        <v>12</v>
      </c>
      <c r="B50" s="39" t="str">
        <f>VLOOKUP(A50,'SKU-ASIN'!$A$4:$I$9,2,FALSE())</f>
        <v>B0FPCK9QZS</v>
      </c>
      <c r="C50" s="9" t="s">
        <v>183</v>
      </c>
      <c r="D50" s="9" t="s">
        <v>184</v>
      </c>
      <c r="E50" s="40">
        <v>255.99</v>
      </c>
      <c r="F50" s="41">
        <f>E50</f>
        <v>255.99</v>
      </c>
      <c r="G50" s="41">
        <f>F50/(1+Inputs!$B$4)</f>
        <v>215.1176471</v>
      </c>
      <c r="H50" s="41">
        <f t="shared" ref="H50:I50" si="31">0</f>
        <v>0</v>
      </c>
      <c r="I50" s="41">
        <f t="shared" si="31"/>
        <v>0</v>
      </c>
      <c r="J50" s="41">
        <f>MAX(Inputs!$B$26,IF(F50&lt;=Inputs!$B$23,F50*Inputs!$B$24,Inputs!$B$23*Inputs!$B$24+(F50-Inputs!$B$23)*Inputs!$B$25))</f>
        <v>35.599</v>
      </c>
      <c r="K50" s="42">
        <f>'SKU-ASIN'!$D$9</f>
        <v>32.64</v>
      </c>
      <c r="L50" s="42">
        <f>'SKU-ASIN'!$E$9</f>
        <v>4.73</v>
      </c>
      <c r="M50" s="42">
        <f>F50*'SKU-ASIN'!$I$9</f>
        <v>38.3985</v>
      </c>
      <c r="N50" s="41">
        <f>G50*Inputs!$B$9</f>
        <v>17.20941176</v>
      </c>
      <c r="O50" s="42">
        <f>'SKU-ASIN'!$H$9</f>
        <v>58.29</v>
      </c>
      <c r="P50" s="43">
        <f t="shared" ref="P50:P57" si="32">G50-J50-K50-L50-M50-N50-I50-H50-O50</f>
        <v>28.25073529</v>
      </c>
      <c r="Q50" s="44">
        <f t="shared" ref="Q50:Q57" si="33">IFERROR(P50/G50,0)</f>
        <v>0.1313269073</v>
      </c>
      <c r="R50" s="43">
        <f>IF(((K50+L50+O50)/(1/(1+Inputs!$B$4)-Inputs!$B$24-'SKU-ASIN'!$I$9-Inputs!$B$9/(1+Inputs!$B$4)))&lt;=Inputs!$B$23,((K50+L50+O50)/(1/(1+Inputs!$B$4)-Inputs!$B$24-'SKU-ASIN'!$I$9-Inputs!$B$9/(1+Inputs!$B$4))),((K50+L50+O50+Inputs!$B$23*(Inputs!$B$24-Inputs!$B$25))/(1/(1+Inputs!$B$4)-Inputs!$B$25-'SKU-ASIN'!$I$9-Inputs!$B$9/(1+Inputs!$B$4))))</f>
        <v>201.9845783</v>
      </c>
      <c r="S50" s="44">
        <f t="shared" ref="S50:S57" si="34">IFERROR(P50/O50,0)</f>
        <v>0.4846583512</v>
      </c>
    </row>
    <row r="51">
      <c r="A51" s="9" t="s">
        <v>12</v>
      </c>
      <c r="B51" s="39" t="str">
        <f>VLOOKUP(A51,'SKU-ASIN'!$A$4:$I$9,2,FALSE())</f>
        <v>B0FPCK9QZS</v>
      </c>
      <c r="C51" s="9" t="s">
        <v>183</v>
      </c>
      <c r="D51" s="9" t="s">
        <v>185</v>
      </c>
      <c r="E51" s="45">
        <f>E50</f>
        <v>255.99</v>
      </c>
      <c r="F51" s="41">
        <f>E51*(1-Inputs!$B$14)</f>
        <v>230.391</v>
      </c>
      <c r="G51" s="41">
        <f>F51/(1+Inputs!$B$4)</f>
        <v>193.6058824</v>
      </c>
      <c r="H51" s="41">
        <f>F51*Inputs!$B$15</f>
        <v>5.759775</v>
      </c>
      <c r="I51" s="41">
        <f>0</f>
        <v>0</v>
      </c>
      <c r="J51" s="41">
        <f>MAX(Inputs!$B$26,IF(F51&lt;=Inputs!$B$23,F51*Inputs!$B$24,Inputs!$B$23*Inputs!$B$24+(F51-Inputs!$B$23)*Inputs!$B$25))</f>
        <v>33.0391</v>
      </c>
      <c r="K51" s="42">
        <f>'SKU-ASIN'!$D$9</f>
        <v>32.64</v>
      </c>
      <c r="L51" s="42">
        <f>'SKU-ASIN'!$E$9</f>
        <v>4.73</v>
      </c>
      <c r="M51" s="42">
        <f>F51*'SKU-ASIN'!$I$9</f>
        <v>34.55865</v>
      </c>
      <c r="N51" s="41">
        <f>G51*Inputs!$B$9</f>
        <v>15.48847059</v>
      </c>
      <c r="O51" s="42">
        <f>'SKU-ASIN'!$H$9</f>
        <v>58.29</v>
      </c>
      <c r="P51" s="43">
        <f t="shared" si="32"/>
        <v>9.099886765</v>
      </c>
      <c r="Q51" s="44">
        <f t="shared" si="33"/>
        <v>0.04700211922</v>
      </c>
      <c r="R51" s="43">
        <f>IF(((K51+L51+O51)/(1/(1+Inputs!$B$4)-Inputs!$B$24-'SKU-ASIN'!$I$9-Inputs!$B$9/(1+Inputs!$B$4)))&lt;=Inputs!$B$23,((K51+L51+O51)/(1/(1+Inputs!$B$4)-Inputs!$B$24-'SKU-ASIN'!$I$9-Inputs!$B$9/(1+Inputs!$B$4))),((K51+L51+O51+Inputs!$B$23*(Inputs!$B$24-Inputs!$B$25))/(1/(1+Inputs!$B$4)-Inputs!$B$25-'SKU-ASIN'!$I$9-Inputs!$B$9/(1+Inputs!$B$4))))</f>
        <v>201.9845783</v>
      </c>
      <c r="S51" s="44">
        <f t="shared" si="34"/>
        <v>0.1561140292</v>
      </c>
    </row>
    <row r="52">
      <c r="A52" s="9" t="s">
        <v>12</v>
      </c>
      <c r="B52" s="39" t="str">
        <f>VLOOKUP(A52,'SKU-ASIN'!$A$4:$I$9,2,FALSE())</f>
        <v>B0FPCK9QZS</v>
      </c>
      <c r="C52" s="9" t="s">
        <v>183</v>
      </c>
      <c r="D52" s="9" t="s">
        <v>186</v>
      </c>
      <c r="E52" s="45">
        <f>E50</f>
        <v>255.99</v>
      </c>
      <c r="F52" s="41">
        <f>E52*(1-Inputs!$B$17)</f>
        <v>217.5915</v>
      </c>
      <c r="G52" s="41">
        <f>F52/(1+Inputs!$B$4)</f>
        <v>182.85</v>
      </c>
      <c r="H52" s="41">
        <f t="shared" ref="H52:H57" si="35">0</f>
        <v>0</v>
      </c>
      <c r="I52" s="41">
        <f>F52*Inputs!$B$18</f>
        <v>3.2638725</v>
      </c>
      <c r="J52" s="41">
        <f>MAX(Inputs!$B$26,IF(F52&lt;=Inputs!$B$23,F52*Inputs!$B$24,Inputs!$B$23*Inputs!$B$24+(F52-Inputs!$B$23)*Inputs!$B$25))</f>
        <v>31.75915</v>
      </c>
      <c r="K52" s="42">
        <f>'SKU-ASIN'!$D$9</f>
        <v>32.64</v>
      </c>
      <c r="L52" s="42">
        <f>'SKU-ASIN'!$E$9</f>
        <v>4.73</v>
      </c>
      <c r="M52" s="42">
        <f>F52*'SKU-ASIN'!$I$9</f>
        <v>32.638725</v>
      </c>
      <c r="N52" s="41">
        <f>G52*Inputs!$B$9</f>
        <v>14.628</v>
      </c>
      <c r="O52" s="42">
        <f>'SKU-ASIN'!$H$9</f>
        <v>58.29</v>
      </c>
      <c r="P52" s="43">
        <f t="shared" si="32"/>
        <v>4.9002525</v>
      </c>
      <c r="Q52" s="44">
        <f t="shared" si="33"/>
        <v>0.02679930271</v>
      </c>
      <c r="R52" s="43">
        <f>IF(((K52+L52+O52)/(1/(1+Inputs!$B$4)-Inputs!$B$24-'SKU-ASIN'!$I$9-Inputs!$B$9/(1+Inputs!$B$4)))&lt;=Inputs!$B$23,((K52+L52+O52)/(1/(1+Inputs!$B$4)-Inputs!$B$24-'SKU-ASIN'!$I$9-Inputs!$B$9/(1+Inputs!$B$4))),((K52+L52+O52+Inputs!$B$23*(Inputs!$B$24-Inputs!$B$25))/(1/(1+Inputs!$B$4)-Inputs!$B$25-'SKU-ASIN'!$I$9-Inputs!$B$9/(1+Inputs!$B$4))))</f>
        <v>201.9845783</v>
      </c>
      <c r="S52" s="44">
        <f t="shared" si="34"/>
        <v>0.08406677818</v>
      </c>
    </row>
    <row r="53">
      <c r="A53" s="9" t="s">
        <v>12</v>
      </c>
      <c r="B53" s="39" t="str">
        <f>VLOOKUP(A53,'SKU-ASIN'!$A$4:$I$9,2,FALSE())</f>
        <v>B0FPCK9QZS</v>
      </c>
      <c r="C53" s="9" t="s">
        <v>183</v>
      </c>
      <c r="D53" s="9" t="s">
        <v>187</v>
      </c>
      <c r="E53" s="45">
        <f>E50</f>
        <v>255.99</v>
      </c>
      <c r="F53" s="41">
        <f>E53*(1-Inputs!$B$20)</f>
        <v>204.792</v>
      </c>
      <c r="G53" s="41">
        <f>F53/(1+Inputs!$B$4)</f>
        <v>172.0941176</v>
      </c>
      <c r="H53" s="41">
        <f t="shared" si="35"/>
        <v>0</v>
      </c>
      <c r="I53" s="41">
        <f t="shared" ref="I53:I57" si="36">0</f>
        <v>0</v>
      </c>
      <c r="J53" s="41">
        <f>MAX(Inputs!$B$26,IF(F53&lt;=Inputs!$B$23,F53*Inputs!$B$24,Inputs!$B$23*Inputs!$B$24+(F53-Inputs!$B$23)*Inputs!$B$25))</f>
        <v>30.4792</v>
      </c>
      <c r="K53" s="42">
        <f>'SKU-ASIN'!$D$9</f>
        <v>32.64</v>
      </c>
      <c r="L53" s="42">
        <f>'SKU-ASIN'!$E$9</f>
        <v>4.73</v>
      </c>
      <c r="M53" s="42">
        <f>F53*'SKU-ASIN'!$I$9</f>
        <v>30.7188</v>
      </c>
      <c r="N53" s="41">
        <f>G53*Inputs!$B$9</f>
        <v>13.76752941</v>
      </c>
      <c r="O53" s="42">
        <f>'SKU-ASIN'!$H$9</f>
        <v>58.29</v>
      </c>
      <c r="P53" s="43">
        <f t="shared" si="32"/>
        <v>1.468588235</v>
      </c>
      <c r="Q53" s="44">
        <f t="shared" si="33"/>
        <v>0.008533634126</v>
      </c>
      <c r="R53" s="43">
        <f>IF(((K53+L53+O53)/(1/(1+Inputs!$B$4)-Inputs!$B$24-'SKU-ASIN'!$I$9-Inputs!$B$9/(1+Inputs!$B$4)))&lt;=Inputs!$B$23,((K53+L53+O53)/(1/(1+Inputs!$B$4)-Inputs!$B$24-'SKU-ASIN'!$I$9-Inputs!$B$9/(1+Inputs!$B$4))),((K53+L53+O53+Inputs!$B$23*(Inputs!$B$24-Inputs!$B$25))/(1/(1+Inputs!$B$4)-Inputs!$B$25-'SKU-ASIN'!$I$9-Inputs!$B$9/(1+Inputs!$B$4))))</f>
        <v>201.9845783</v>
      </c>
      <c r="S53" s="44">
        <f t="shared" si="34"/>
        <v>0.02519451424</v>
      </c>
    </row>
    <row r="54">
      <c r="A54" s="9" t="s">
        <v>12</v>
      </c>
      <c r="B54" s="39" t="str">
        <f>VLOOKUP(A54,'SKU-ASIN'!$A$4:$I$9,2,FALSE())</f>
        <v>B0FPCK9QZS</v>
      </c>
      <c r="C54" s="9" t="s">
        <v>188</v>
      </c>
      <c r="D54" s="9" t="s">
        <v>184</v>
      </c>
      <c r="E54" s="45">
        <f>E50</f>
        <v>255.99</v>
      </c>
      <c r="F54" s="41">
        <f>E54/(1+Inputs!$B$4)*(1-Inputs!$B$10)</f>
        <v>215.1176471</v>
      </c>
      <c r="G54" s="41">
        <f>F54</f>
        <v>215.1176471</v>
      </c>
      <c r="H54" s="41">
        <f t="shared" si="35"/>
        <v>0</v>
      </c>
      <c r="I54" s="41">
        <f t="shared" si="36"/>
        <v>0</v>
      </c>
      <c r="J54" s="41">
        <f>MAX(Inputs!$B$26,IF(F54&lt;=Inputs!$B$23,F54*Inputs!$B$24,Inputs!$B$23*Inputs!$B$24+(F54-Inputs!$B$23)*Inputs!$B$25))</f>
        <v>31.51176471</v>
      </c>
      <c r="K54" s="42">
        <f>'SKU-ASIN'!$D$9</f>
        <v>32.64</v>
      </c>
      <c r="L54" s="42">
        <f>'SKU-ASIN'!$E$9</f>
        <v>4.73</v>
      </c>
      <c r="M54" s="42">
        <f>F54*'SKU-ASIN'!$I$9</f>
        <v>32.26764706</v>
      </c>
      <c r="N54" s="41">
        <f>G54*Inputs!$B$9</f>
        <v>17.20941176</v>
      </c>
      <c r="O54" s="42">
        <f>'SKU-ASIN'!$H$9</f>
        <v>58.29</v>
      </c>
      <c r="P54" s="43">
        <f t="shared" si="32"/>
        <v>38.46882353</v>
      </c>
      <c r="Q54" s="44">
        <f t="shared" si="33"/>
        <v>0.1788269073</v>
      </c>
      <c r="R54" s="43">
        <f>IF(((K54+L54+O54)/(1/(1+Inputs!$B$4)-Inputs!$B$24-'SKU-ASIN'!$I$9-Inputs!$B$9/(1+Inputs!$B$4)))&lt;=Inputs!$B$23,((K54+L54+O54)/(1/(1+Inputs!$B$4)-Inputs!$B$24-'SKU-ASIN'!$I$9-Inputs!$B$9/(1+Inputs!$B$4))),((K54+L54+O54+Inputs!$B$23*(Inputs!$B$24-Inputs!$B$25))/(1/(1+Inputs!$B$4)-Inputs!$B$25-'SKU-ASIN'!$I$9-Inputs!$B$9/(1+Inputs!$B$4))))</f>
        <v>201.9845783</v>
      </c>
      <c r="S54" s="44">
        <f t="shared" si="34"/>
        <v>0.6599557991</v>
      </c>
    </row>
    <row r="55">
      <c r="A55" s="9" t="s">
        <v>12</v>
      </c>
      <c r="B55" s="39" t="str">
        <f>VLOOKUP(A55,'SKU-ASIN'!$A$4:$I$9,2,FALSE())</f>
        <v>B0FPCK9QZS</v>
      </c>
      <c r="C55" s="9" t="s">
        <v>189</v>
      </c>
      <c r="D55" s="9" t="s">
        <v>184</v>
      </c>
      <c r="E55" s="45">
        <f>E50</f>
        <v>255.99</v>
      </c>
      <c r="F55" s="41">
        <f>E55*(1-Inputs!$B$11)</f>
        <v>243.1905</v>
      </c>
      <c r="G55" s="41">
        <f>F55/(1+Inputs!$B$4)</f>
        <v>204.3617647</v>
      </c>
      <c r="H55" s="41">
        <f t="shared" si="35"/>
        <v>0</v>
      </c>
      <c r="I55" s="41">
        <f t="shared" si="36"/>
        <v>0</v>
      </c>
      <c r="J55" s="41">
        <f>MAX(Inputs!$B$26,IF(F55&lt;=Inputs!$B$23,F55*Inputs!$B$24,Inputs!$B$23*Inputs!$B$24+(F55-Inputs!$B$23)*Inputs!$B$25))</f>
        <v>34.31905</v>
      </c>
      <c r="K55" s="42">
        <f>'SKU-ASIN'!$D$9</f>
        <v>32.64</v>
      </c>
      <c r="L55" s="42">
        <f>'SKU-ASIN'!$E$9</f>
        <v>4.73</v>
      </c>
      <c r="M55" s="42">
        <f>F55*'SKU-ASIN'!$I$9</f>
        <v>36.478575</v>
      </c>
      <c r="N55" s="41">
        <f>G55*Inputs!$B$9</f>
        <v>16.34894118</v>
      </c>
      <c r="O55" s="42">
        <f>'SKU-ASIN'!$H$9</f>
        <v>58.29</v>
      </c>
      <c r="P55" s="43">
        <f t="shared" si="32"/>
        <v>21.55519853</v>
      </c>
      <c r="Q55" s="44">
        <f t="shared" si="33"/>
        <v>0.1054756919</v>
      </c>
      <c r="R55" s="43">
        <f>IF(((K55+L55+O55)/(1/(1+Inputs!$B$4)-Inputs!$B$24-'SKU-ASIN'!$I$9-Inputs!$B$9/(1+Inputs!$B$4)))&lt;=Inputs!$B$23,((K55+L55+O55)/(1/(1+Inputs!$B$4)-Inputs!$B$24-'SKU-ASIN'!$I$9-Inputs!$B$9/(1+Inputs!$B$4))),((K55+L55+O55+Inputs!$B$23*(Inputs!$B$24-Inputs!$B$25))/(1/(1+Inputs!$B$4)-Inputs!$B$25-'SKU-ASIN'!$I$9-Inputs!$B$9/(1+Inputs!$B$4))))</f>
        <v>201.9845783</v>
      </c>
      <c r="S55" s="44">
        <f t="shared" si="34"/>
        <v>0.369792392</v>
      </c>
    </row>
    <row r="56">
      <c r="A56" s="9" t="s">
        <v>12</v>
      </c>
      <c r="B56" s="39" t="str">
        <f>VLOOKUP(A56,'SKU-ASIN'!$A$4:$I$9,2,FALSE())</f>
        <v>B0FPCK9QZS</v>
      </c>
      <c r="C56" s="9" t="s">
        <v>190</v>
      </c>
      <c r="D56" s="9" t="s">
        <v>184</v>
      </c>
      <c r="E56" s="45">
        <f>E50</f>
        <v>255.99</v>
      </c>
      <c r="F56" s="41">
        <f>E56*(1-Inputs!$B$12)</f>
        <v>238.0707</v>
      </c>
      <c r="G56" s="41">
        <f>F56/(1+Inputs!$B$4)</f>
        <v>200.0594118</v>
      </c>
      <c r="H56" s="41">
        <f t="shared" si="35"/>
        <v>0</v>
      </c>
      <c r="I56" s="41">
        <f t="shared" si="36"/>
        <v>0</v>
      </c>
      <c r="J56" s="41">
        <f>MAX(Inputs!$B$26,IF(F56&lt;=Inputs!$B$23,F56*Inputs!$B$24,Inputs!$B$23*Inputs!$B$24+(F56-Inputs!$B$23)*Inputs!$B$25))</f>
        <v>33.80707</v>
      </c>
      <c r="K56" s="42">
        <f>'SKU-ASIN'!$D$9</f>
        <v>32.64</v>
      </c>
      <c r="L56" s="42">
        <f>'SKU-ASIN'!$E$9</f>
        <v>4.73</v>
      </c>
      <c r="M56" s="42">
        <f>F56*'SKU-ASIN'!$I$9</f>
        <v>35.710605</v>
      </c>
      <c r="N56" s="41">
        <f>G56*Inputs!$B$9</f>
        <v>16.00475294</v>
      </c>
      <c r="O56" s="42">
        <f>'SKU-ASIN'!$H$9</f>
        <v>58.29</v>
      </c>
      <c r="P56" s="43">
        <f t="shared" si="32"/>
        <v>18.87698382</v>
      </c>
      <c r="Q56" s="44">
        <f t="shared" si="33"/>
        <v>0.09435688957</v>
      </c>
      <c r="R56" s="43">
        <f>IF(((K56+L56+O56)/(1/(1+Inputs!$B$4)-Inputs!$B$24-'SKU-ASIN'!$I$9-Inputs!$B$9/(1+Inputs!$B$4)))&lt;=Inputs!$B$23,((K56+L56+O56)/(1/(1+Inputs!$B$4)-Inputs!$B$24-'SKU-ASIN'!$I$9-Inputs!$B$9/(1+Inputs!$B$4))),((K56+L56+O56+Inputs!$B$23*(Inputs!$B$24-Inputs!$B$25))/(1/(1+Inputs!$B$4)-Inputs!$B$25-'SKU-ASIN'!$I$9-Inputs!$B$9/(1+Inputs!$B$4))))</f>
        <v>201.9845783</v>
      </c>
      <c r="S56" s="44">
        <f t="shared" si="34"/>
        <v>0.3238460083</v>
      </c>
    </row>
    <row r="57">
      <c r="A57" s="9" t="s">
        <v>12</v>
      </c>
      <c r="B57" s="39" t="str">
        <f>VLOOKUP(A57,'SKU-ASIN'!$A$4:$I$9,2,FALSE())</f>
        <v>B0FPCK9QZS</v>
      </c>
      <c r="C57" s="9" t="s">
        <v>191</v>
      </c>
      <c r="D57" s="9" t="s">
        <v>184</v>
      </c>
      <c r="E57" s="45">
        <f>E50</f>
        <v>255.99</v>
      </c>
      <c r="F57" s="41">
        <f>E57*(1-Inputs!$B$13)</f>
        <v>230.391</v>
      </c>
      <c r="G57" s="41">
        <f>F57/(1+Inputs!$B$4)</f>
        <v>193.6058824</v>
      </c>
      <c r="H57" s="41">
        <f t="shared" si="35"/>
        <v>0</v>
      </c>
      <c r="I57" s="41">
        <f t="shared" si="36"/>
        <v>0</v>
      </c>
      <c r="J57" s="41">
        <f>MAX(Inputs!$B$26,IF(F57&lt;=Inputs!$B$23,F57*Inputs!$B$24,Inputs!$B$23*Inputs!$B$24+(F57-Inputs!$B$23)*Inputs!$B$25))</f>
        <v>33.0391</v>
      </c>
      <c r="K57" s="42">
        <f>'SKU-ASIN'!$D$9</f>
        <v>32.64</v>
      </c>
      <c r="L57" s="42">
        <f>'SKU-ASIN'!$E$9</f>
        <v>4.73</v>
      </c>
      <c r="M57" s="42">
        <f>F57*'SKU-ASIN'!$I$9</f>
        <v>34.55865</v>
      </c>
      <c r="N57" s="41">
        <f>G57*Inputs!$B$9</f>
        <v>15.48847059</v>
      </c>
      <c r="O57" s="42">
        <f>'SKU-ASIN'!$H$9</f>
        <v>58.29</v>
      </c>
      <c r="P57" s="43">
        <f t="shared" si="32"/>
        <v>14.85966176</v>
      </c>
      <c r="Q57" s="44">
        <f t="shared" si="33"/>
        <v>0.07675211922</v>
      </c>
      <c r="R57" s="43">
        <f>IF(((K57+L57+O57)/(1/(1+Inputs!$B$4)-Inputs!$B$24-'SKU-ASIN'!$I$9-Inputs!$B$9/(1+Inputs!$B$4)))&lt;=Inputs!$B$23,((K57+L57+O57)/(1/(1+Inputs!$B$4)-Inputs!$B$24-'SKU-ASIN'!$I$9-Inputs!$B$9/(1+Inputs!$B$4))),((K57+L57+O57+Inputs!$B$23*(Inputs!$B$24-Inputs!$B$25))/(1/(1+Inputs!$B$4)-Inputs!$B$25-'SKU-ASIN'!$I$9-Inputs!$B$9/(1+Inputs!$B$4))))</f>
        <v>201.9845783</v>
      </c>
      <c r="S57" s="44">
        <f t="shared" si="34"/>
        <v>0.2549264327</v>
      </c>
    </row>
    <row r="58"/>
    <row r="59"/>
    <row r="60">
      <c r="A60" s="34" t="s">
        <v>192</v>
      </c>
    </row>
    <row r="61">
      <c r="A61" s="34" t="s">
        <v>193</v>
      </c>
    </row>
    <row r="62">
      <c r="A62" s="34" t="s">
        <v>194</v>
      </c>
    </row>
    <row r="63">
      <c r="A63" s="34" t="s">
        <v>195</v>
      </c>
    </row>
    <row r="64">
      <c r="A64" s="34" t="s">
        <v>196</v>
      </c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S1"/>
    <mergeCell ref="A2:S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0"/>
    <col customWidth="1" min="2" max="3" width="16.0"/>
    <col customWidth="1" min="4" max="4" width="10.0"/>
    <col customWidth="1" min="5" max="5" width="14.0"/>
    <col customWidth="1" min="6" max="6" width="13.0"/>
    <col customWidth="1" min="7" max="9" width="16.0"/>
    <col customWidth="1" min="10" max="10" width="18.0"/>
    <col customWidth="1" min="11" max="11" width="13.0"/>
    <col customWidth="1" min="12" max="12" width="12.0"/>
    <col customWidth="1" min="13" max="26" width="8.71"/>
  </cols>
  <sheetData>
    <row r="1">
      <c r="A1" s="24" t="s">
        <v>197</v>
      </c>
    </row>
    <row r="3" ht="42.0" customHeight="1">
      <c r="A3" s="25" t="s">
        <v>66</v>
      </c>
      <c r="B3" s="25" t="s">
        <v>198</v>
      </c>
      <c r="C3" s="25" t="s">
        <v>179</v>
      </c>
      <c r="D3" s="25" t="s">
        <v>180</v>
      </c>
      <c r="E3" s="25" t="s">
        <v>199</v>
      </c>
      <c r="F3" s="25" t="s">
        <v>200</v>
      </c>
      <c r="G3" s="25" t="s">
        <v>201</v>
      </c>
      <c r="H3" s="25" t="s">
        <v>202</v>
      </c>
      <c r="I3" s="25" t="s">
        <v>203</v>
      </c>
      <c r="J3" s="25" t="s">
        <v>204</v>
      </c>
      <c r="K3" s="25" t="s">
        <v>205</v>
      </c>
      <c r="L3" s="25" t="s">
        <v>206</v>
      </c>
    </row>
    <row r="4">
      <c r="A4" s="9" t="s">
        <v>11</v>
      </c>
      <c r="B4" s="42">
        <f>Calculator!E5</f>
        <v>415.99</v>
      </c>
      <c r="C4" s="42">
        <f>Calculator!P5</f>
        <v>58.44821429</v>
      </c>
      <c r="D4" s="46">
        <f>Calculator!Q5</f>
        <v>0.1671996322</v>
      </c>
      <c r="E4" s="42">
        <f>Calculator!R5</f>
        <v>304.2576707</v>
      </c>
      <c r="F4" s="47">
        <f t="shared" ref="F4:F9" si="1">IFERROR((B4-E4)/B4,0)</f>
        <v>0.2685937867</v>
      </c>
      <c r="G4" s="48">
        <v>10.0</v>
      </c>
      <c r="H4" s="49">
        <f>IF(C4&lt;=0,"маржа&lt;=0",(Inputs!$B$6/12+Inputs!$B$33)/6/C4)</f>
        <v>0.0948132759</v>
      </c>
      <c r="I4" s="41">
        <f t="shared" ref="I4:I9" si="2">C4*G4</f>
        <v>584.4821429</v>
      </c>
      <c r="J4" s="41">
        <f>K4*'SKU-ASIN'!$H$4+(Inputs!$B$31+Inputs!$B$32)/6</f>
        <v>6615.5</v>
      </c>
      <c r="K4" s="48">
        <v>50.0</v>
      </c>
      <c r="L4" s="50">
        <f t="shared" ref="L4:L10" si="3">IF(I4&lt;=0,"маржа&lt;=0",J4/I4)</f>
        <v>11.3185665</v>
      </c>
    </row>
    <row r="5">
      <c r="A5" s="9" t="s">
        <v>10</v>
      </c>
      <c r="B5" s="42">
        <f>Calculator!E14</f>
        <v>395.99</v>
      </c>
      <c r="C5" s="42">
        <f>Calculator!P14</f>
        <v>56.62602941</v>
      </c>
      <c r="D5" s="46">
        <f>Calculator!Q14</f>
        <v>0.1701683755</v>
      </c>
      <c r="E5" s="42">
        <f>Calculator!R14</f>
        <v>287.7410442</v>
      </c>
      <c r="F5" s="47">
        <f t="shared" si="1"/>
        <v>0.2733628522</v>
      </c>
      <c r="G5" s="48">
        <v>10.0</v>
      </c>
      <c r="H5" s="49">
        <f>IF(C5&lt;=0,"маржа&lt;=0",(Inputs!$B$6/12+Inputs!$B$33)/6/C5)</f>
        <v>0.09786429888</v>
      </c>
      <c r="I5" s="41">
        <f t="shared" si="2"/>
        <v>566.2602941</v>
      </c>
      <c r="J5" s="41">
        <f>K5*'SKU-ASIN'!$H$5+(Inputs!$B$31+Inputs!$B$32)/6</f>
        <v>5949.5</v>
      </c>
      <c r="K5" s="48">
        <v>50.0</v>
      </c>
      <c r="L5" s="50">
        <f t="shared" si="3"/>
        <v>10.50665226</v>
      </c>
    </row>
    <row r="6">
      <c r="A6" s="9" t="s">
        <v>15</v>
      </c>
      <c r="B6" s="42">
        <f>Calculator!E23</f>
        <v>305.99</v>
      </c>
      <c r="C6" s="42">
        <f>Calculator!P23</f>
        <v>37.55619748</v>
      </c>
      <c r="D6" s="46">
        <f>Calculator!Q23</f>
        <v>0.1460566522</v>
      </c>
      <c r="E6" s="42">
        <f>Calculator!R23</f>
        <v>234.1958233</v>
      </c>
      <c r="F6" s="47">
        <f t="shared" si="1"/>
        <v>0.2346291601</v>
      </c>
      <c r="G6" s="48">
        <v>10.0</v>
      </c>
      <c r="H6" s="49">
        <f>IF(C6&lt;=0,"маржа&lt;=0",(Inputs!$B$6/12+Inputs!$B$33)/6/C6)</f>
        <v>0.1475566495</v>
      </c>
      <c r="I6" s="41">
        <f t="shared" si="2"/>
        <v>375.5619748</v>
      </c>
      <c r="J6" s="41">
        <f>K6*'SKU-ASIN'!$H$6+(Inputs!$B$31+Inputs!$B$32)/6</f>
        <v>3912.5</v>
      </c>
      <c r="K6" s="48">
        <v>50.0</v>
      </c>
      <c r="L6" s="50">
        <f t="shared" si="3"/>
        <v>10.41772134</v>
      </c>
    </row>
    <row r="7">
      <c r="A7" s="9" t="s">
        <v>14</v>
      </c>
      <c r="B7" s="42">
        <f>Calculator!E32</f>
        <v>285.99</v>
      </c>
      <c r="C7" s="42">
        <f>Calculator!P32</f>
        <v>33.74401261</v>
      </c>
      <c r="D7" s="46">
        <f>Calculator!Q32</f>
        <v>0.1404083185</v>
      </c>
      <c r="E7" s="42">
        <f>Calculator!R32</f>
        <v>221.4833735</v>
      </c>
      <c r="F7" s="47">
        <f t="shared" si="1"/>
        <v>0.2255555317</v>
      </c>
      <c r="G7" s="48">
        <v>10.0</v>
      </c>
      <c r="H7" s="49">
        <f>IF(C7&lt;=0,"маржа&lt;=0",(Inputs!$B$6/12+Inputs!$B$33)/6/C7)</f>
        <v>0.1642266654</v>
      </c>
      <c r="I7" s="41">
        <f t="shared" si="2"/>
        <v>337.4401261</v>
      </c>
      <c r="J7" s="41">
        <f>K7*'SKU-ASIN'!$H$7+(Inputs!$B$31+Inputs!$B$32)/6</f>
        <v>3580</v>
      </c>
      <c r="K7" s="48">
        <v>50.0</v>
      </c>
      <c r="L7" s="50">
        <f t="shared" si="3"/>
        <v>10.60928954</v>
      </c>
    </row>
    <row r="8">
      <c r="A8" s="9" t="s">
        <v>13</v>
      </c>
      <c r="B8" s="42">
        <f>Calculator!E41</f>
        <v>265.99</v>
      </c>
      <c r="C8" s="42">
        <f>Calculator!P41</f>
        <v>29.32182773</v>
      </c>
      <c r="D8" s="46">
        <f>Calculator!Q41</f>
        <v>0.1311815294</v>
      </c>
      <c r="E8" s="42">
        <f>Calculator!R41</f>
        <v>209.9370281</v>
      </c>
      <c r="F8" s="47">
        <f t="shared" si="1"/>
        <v>0.2107333805</v>
      </c>
      <c r="G8" s="48">
        <v>10.0</v>
      </c>
      <c r="H8" s="49">
        <f>IF(C8&lt;=0,"маржа&lt;=0",(Inputs!$B$6/12+Inputs!$B$33)/6/C8)</f>
        <v>0.1889945851</v>
      </c>
      <c r="I8" s="41">
        <f t="shared" si="2"/>
        <v>293.2182773</v>
      </c>
      <c r="J8" s="41">
        <f>K8*'SKU-ASIN'!$H$8+(Inputs!$B$31+Inputs!$B$32)/6</f>
        <v>3122.5</v>
      </c>
      <c r="K8" s="48">
        <v>50.0</v>
      </c>
      <c r="L8" s="50">
        <f t="shared" si="3"/>
        <v>10.64906331</v>
      </c>
    </row>
    <row r="9">
      <c r="A9" s="9" t="s">
        <v>12</v>
      </c>
      <c r="B9" s="42">
        <f>Calculator!E50</f>
        <v>255.99</v>
      </c>
      <c r="C9" s="42">
        <f>Calculator!P50</f>
        <v>28.25073529</v>
      </c>
      <c r="D9" s="46">
        <f>Calculator!Q50</f>
        <v>0.1313269073</v>
      </c>
      <c r="E9" s="42">
        <f>Calculator!R50</f>
        <v>201.9845783</v>
      </c>
      <c r="F9" s="47">
        <f t="shared" si="1"/>
        <v>0.2109669194</v>
      </c>
      <c r="G9" s="48">
        <v>10.0</v>
      </c>
      <c r="H9" s="49">
        <f>IF(C9&lt;=0,"маржа&lt;=0",(Inputs!$B$6/12+Inputs!$B$33)/6/C9)</f>
        <v>0.1961600861</v>
      </c>
      <c r="I9" s="41">
        <f t="shared" si="2"/>
        <v>282.5073529</v>
      </c>
      <c r="J9" s="41">
        <f>K9*'SKU-ASIN'!$H$9+(Inputs!$B$31+Inputs!$B$32)/6</f>
        <v>2914.5</v>
      </c>
      <c r="K9" s="48">
        <v>50.0</v>
      </c>
      <c r="L9" s="50">
        <f t="shared" si="3"/>
        <v>10.31654564</v>
      </c>
    </row>
    <row r="10">
      <c r="A10" s="51" t="s">
        <v>207</v>
      </c>
      <c r="B10" s="51"/>
      <c r="C10" s="51"/>
      <c r="D10" s="51"/>
      <c r="E10" s="51"/>
      <c r="F10" s="51"/>
      <c r="G10" s="52">
        <f t="shared" ref="G10:K10" si="4">SUM(G4:G9)</f>
        <v>60</v>
      </c>
      <c r="H10" s="52">
        <f t="shared" si="4"/>
        <v>0.8896155608</v>
      </c>
      <c r="I10" s="53">
        <f t="shared" si="4"/>
        <v>2439.470168</v>
      </c>
      <c r="J10" s="53">
        <f t="shared" si="4"/>
        <v>26094.5</v>
      </c>
      <c r="K10" s="52">
        <f t="shared" si="4"/>
        <v>300</v>
      </c>
      <c r="L10" s="54">
        <f t="shared" si="3"/>
        <v>10.69678996</v>
      </c>
    </row>
    <row r="12">
      <c r="A12" s="34" t="s">
        <v>208</v>
      </c>
    </row>
    <row r="13">
      <c r="A13" s="34" t="s">
        <v>209</v>
      </c>
    </row>
    <row r="14">
      <c r="A14" s="34" t="s">
        <v>210</v>
      </c>
    </row>
    <row r="15">
      <c r="A15" s="34" t="s">
        <v>211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L1"/>
    <mergeCell ref="A12:L12"/>
    <mergeCell ref="A13:L13"/>
    <mergeCell ref="A14:L14"/>
    <mergeCell ref="A15:L15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0"/>
    <col customWidth="1" min="2" max="2" width="13.0"/>
    <col customWidth="1" min="3" max="3" width="14.0"/>
    <col customWidth="1" min="4" max="5" width="16.0"/>
    <col customWidth="1" min="6" max="6" width="12.0"/>
    <col customWidth="1" min="7" max="26" width="8.71"/>
  </cols>
  <sheetData>
    <row r="1">
      <c r="A1" s="24" t="s">
        <v>212</v>
      </c>
    </row>
    <row r="3">
      <c r="A3" s="34" t="s">
        <v>213</v>
      </c>
    </row>
    <row r="5">
      <c r="A5" s="25" t="s">
        <v>66</v>
      </c>
      <c r="B5" s="25" t="s">
        <v>214</v>
      </c>
      <c r="C5" s="25" t="s">
        <v>215</v>
      </c>
      <c r="D5" s="25" t="s">
        <v>216</v>
      </c>
      <c r="E5" s="25" t="s">
        <v>217</v>
      </c>
      <c r="F5" s="25" t="s">
        <v>218</v>
      </c>
    </row>
    <row r="6">
      <c r="A6" s="9" t="s">
        <v>11</v>
      </c>
      <c r="B6" s="55">
        <f>'Break-even'!G4</f>
        <v>10</v>
      </c>
      <c r="C6" s="42">
        <f>Calculator!E5</f>
        <v>415.99</v>
      </c>
      <c r="D6" s="41">
        <f t="shared" ref="D6:D11" si="1">B6*C6</f>
        <v>4159.9</v>
      </c>
      <c r="E6" s="42">
        <f>'Break-even'!I4</f>
        <v>584.4821429</v>
      </c>
      <c r="F6" s="47">
        <f>IFERROR(E6/(D6/(1+Inputs!$B$4)),0)</f>
        <v>0.1671996322</v>
      </c>
    </row>
    <row r="7">
      <c r="A7" s="9" t="s">
        <v>10</v>
      </c>
      <c r="B7" s="55">
        <f>'Break-even'!G5</f>
        <v>10</v>
      </c>
      <c r="C7" s="42">
        <f>Calculator!E14</f>
        <v>395.99</v>
      </c>
      <c r="D7" s="41">
        <f t="shared" si="1"/>
        <v>3959.9</v>
      </c>
      <c r="E7" s="42">
        <f>'Break-even'!I5</f>
        <v>566.2602941</v>
      </c>
      <c r="F7" s="47">
        <f>IFERROR(E7/(D7/(1+Inputs!$B$4)),0)</f>
        <v>0.1701683755</v>
      </c>
    </row>
    <row r="8">
      <c r="A8" s="9" t="s">
        <v>15</v>
      </c>
      <c r="B8" s="55">
        <f>'Break-even'!G6</f>
        <v>10</v>
      </c>
      <c r="C8" s="42">
        <f>Calculator!E23</f>
        <v>305.99</v>
      </c>
      <c r="D8" s="41">
        <f t="shared" si="1"/>
        <v>3059.9</v>
      </c>
      <c r="E8" s="42">
        <f>'Break-even'!I6</f>
        <v>375.5619748</v>
      </c>
      <c r="F8" s="47">
        <f>IFERROR(E8/(D8/(1+Inputs!$B$4)),0)</f>
        <v>0.1460566522</v>
      </c>
    </row>
    <row r="9">
      <c r="A9" s="9" t="s">
        <v>14</v>
      </c>
      <c r="B9" s="55">
        <f>'Break-even'!G7</f>
        <v>10</v>
      </c>
      <c r="C9" s="42">
        <f>Calculator!E32</f>
        <v>285.99</v>
      </c>
      <c r="D9" s="41">
        <f t="shared" si="1"/>
        <v>2859.9</v>
      </c>
      <c r="E9" s="42">
        <f>'Break-even'!I7</f>
        <v>337.4401261</v>
      </c>
      <c r="F9" s="47">
        <f>IFERROR(E9/(D9/(1+Inputs!$B$4)),0)</f>
        <v>0.1404083185</v>
      </c>
    </row>
    <row r="10">
      <c r="A10" s="9" t="s">
        <v>13</v>
      </c>
      <c r="B10" s="55">
        <f>'Break-even'!G8</f>
        <v>10</v>
      </c>
      <c r="C10" s="42">
        <f>Calculator!E41</f>
        <v>265.99</v>
      </c>
      <c r="D10" s="41">
        <f t="shared" si="1"/>
        <v>2659.9</v>
      </c>
      <c r="E10" s="42">
        <f>'Break-even'!I8</f>
        <v>293.2182773</v>
      </c>
      <c r="F10" s="47">
        <f>IFERROR(E10/(D10/(1+Inputs!$B$4)),0)</f>
        <v>0.1311815294</v>
      </c>
    </row>
    <row r="11">
      <c r="A11" s="9" t="s">
        <v>12</v>
      </c>
      <c r="B11" s="55">
        <f>'Break-even'!G9</f>
        <v>10</v>
      </c>
      <c r="C11" s="42">
        <f>Calculator!E50</f>
        <v>255.99</v>
      </c>
      <c r="D11" s="41">
        <f t="shared" si="1"/>
        <v>2559.9</v>
      </c>
      <c r="E11" s="42">
        <f>'Break-even'!I9</f>
        <v>282.5073529</v>
      </c>
      <c r="F11" s="47">
        <f>IFERROR(E11/(D11/(1+Inputs!$B$4)),0)</f>
        <v>0.1313269073</v>
      </c>
    </row>
    <row r="12">
      <c r="A12" s="51" t="s">
        <v>219</v>
      </c>
      <c r="B12" s="52">
        <f>SUM(B6:B11)</f>
        <v>60</v>
      </c>
      <c r="C12" s="51"/>
      <c r="D12" s="53">
        <f t="shared" ref="D12:E12" si="2">SUM(D6:D11)</f>
        <v>19259.4</v>
      </c>
      <c r="E12" s="53">
        <f t="shared" si="2"/>
        <v>2439.470168</v>
      </c>
      <c r="F12" s="56">
        <f>IFERROR(E12/(D12/(1+Inputs!$B$4)),0)</f>
        <v>0.1507300072</v>
      </c>
    </row>
    <row r="14">
      <c r="A14" s="57" t="s">
        <v>220</v>
      </c>
      <c r="B14" s="58"/>
      <c r="C14" s="58"/>
      <c r="D14" s="58"/>
      <c r="E14" s="58"/>
      <c r="F14" s="59"/>
    </row>
    <row r="15">
      <c r="A15" s="60" t="s">
        <v>221</v>
      </c>
      <c r="B15" s="61">
        <v>0.0</v>
      </c>
      <c r="E15" s="62">
        <f>B15*Inputs!$B$16</f>
        <v>0</v>
      </c>
    </row>
    <row r="16">
      <c r="A16" s="60" t="s">
        <v>222</v>
      </c>
      <c r="B16" s="61">
        <v>0.0</v>
      </c>
      <c r="E16" s="62">
        <f>B16*Inputs!$B$19</f>
        <v>0</v>
      </c>
    </row>
    <row r="17">
      <c r="A17" s="60" t="s">
        <v>223</v>
      </c>
      <c r="B17" s="61">
        <v>0.0</v>
      </c>
      <c r="E17" s="62">
        <f>B17*Inputs!$B$21</f>
        <v>0</v>
      </c>
    </row>
    <row r="19">
      <c r="A19" s="57" t="s">
        <v>224</v>
      </c>
      <c r="B19" s="58"/>
      <c r="C19" s="58"/>
      <c r="D19" s="58"/>
      <c r="E19" s="58"/>
      <c r="F19" s="59"/>
    </row>
    <row r="20">
      <c r="A20" s="60" t="s">
        <v>225</v>
      </c>
      <c r="E20" s="63">
        <f>Inputs!$B$33</f>
        <v>0</v>
      </c>
    </row>
    <row r="21">
      <c r="A21" s="60" t="s">
        <v>226</v>
      </c>
      <c r="E21" s="63">
        <f>Inputs!$B$6/12</f>
        <v>33.25</v>
      </c>
    </row>
    <row r="22"/>
    <row r="23">
      <c r="A23" s="51" t="s">
        <v>227</v>
      </c>
      <c r="E23" s="53">
        <f>E12-E15-E16-E17-E20-E21</f>
        <v>2406.220168</v>
      </c>
    </row>
    <row r="24"/>
    <row r="25">
      <c r="A25" s="57" t="s">
        <v>228</v>
      </c>
      <c r="B25" s="58"/>
      <c r="C25" s="58"/>
      <c r="D25" s="58"/>
      <c r="E25" s="58"/>
      <c r="F25" s="59"/>
    </row>
    <row r="26">
      <c r="A26" s="60" t="s">
        <v>229</v>
      </c>
      <c r="E26" s="62">
        <f>MAX(0,E23)*Inputs!$B$27*Inputs!$B$28</f>
        <v>0</v>
      </c>
    </row>
    <row r="27">
      <c r="A27" s="51" t="s">
        <v>230</v>
      </c>
      <c r="E27" s="53">
        <f>E23-E26</f>
        <v>2406.220168</v>
      </c>
    </row>
    <row r="28"/>
    <row r="29">
      <c r="A29" s="57" t="s">
        <v>231</v>
      </c>
      <c r="B29" s="58"/>
      <c r="C29" s="58"/>
      <c r="D29" s="58"/>
      <c r="E29" s="58"/>
      <c r="F29" s="59"/>
    </row>
    <row r="30">
      <c r="A30" s="60" t="s">
        <v>232</v>
      </c>
      <c r="E30" s="63">
        <f>D12*Inputs!$B$4/(1+Inputs!$B$4)</f>
        <v>3075.030252</v>
      </c>
    </row>
    <row r="31">
      <c r="A31" s="60" t="s">
        <v>233</v>
      </c>
      <c r="E31" s="63">
        <f>SUMPRODUCT('SKU-ASIN'!$F$4:$F$9,'Break-even'!$G$4:$G$9)*Inputs!$B$4*Inputs!$B$29</f>
        <v>877.325</v>
      </c>
    </row>
    <row r="32">
      <c r="A32" s="60" t="s">
        <v>234</v>
      </c>
      <c r="E32" s="63">
        <f>SUMPRODUCT('SKU-ASIN'!$G$4:$G$9,'Break-even'!$G$4:$G$9)*Inputs!$B$4*Inputs!$B$29</f>
        <v>114.266</v>
      </c>
    </row>
    <row r="33"/>
    <row r="34">
      <c r="A34" s="51" t="s">
        <v>235</v>
      </c>
      <c r="E34" s="53">
        <f>E30-E31-E32</f>
        <v>2083.439252</v>
      </c>
    </row>
    <row r="35"/>
    <row r="36">
      <c r="A36" s="34" t="s">
        <v>236</v>
      </c>
    </row>
    <row r="37">
      <c r="A37" s="34" t="s">
        <v>237</v>
      </c>
    </row>
    <row r="38">
      <c r="A38" s="34" t="s">
        <v>238</v>
      </c>
    </row>
    <row r="39">
      <c r="A39" s="34" t="s">
        <v>239</v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0">
    <mergeCell ref="A37:F37"/>
    <mergeCell ref="A38:F38"/>
    <mergeCell ref="A39:F39"/>
    <mergeCell ref="A1:F1"/>
    <mergeCell ref="A3:F3"/>
    <mergeCell ref="A14:F14"/>
    <mergeCell ref="A19:F19"/>
    <mergeCell ref="A25:F25"/>
    <mergeCell ref="A29:F29"/>
    <mergeCell ref="A36:F36"/>
  </mergeCells>
  <printOptions/>
  <pageMargins bottom="1.0" footer="0.0" header="0.0" left="0.75" right="0.75" top="1.0"/>
  <pageSetup paperSize="9" orientation="portrait"/>
  <drawing r:id="rId1"/>
</worksheet>
</file>